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/>
  <mc:AlternateContent xmlns:mc="http://schemas.openxmlformats.org/markup-compatibility/2006">
    <mc:Choice Requires="x15">
      <x15ac:absPath xmlns:x15ac="http://schemas.microsoft.com/office/spreadsheetml/2010/11/ac" url="/Users/oscar/Downloads/xcien-dashboard/src/data/"/>
    </mc:Choice>
  </mc:AlternateContent>
  <xr:revisionPtr revIDLastSave="0" documentId="8_{B64AAA3A-3FA6-F149-9B7A-9407DA1B48E8}" xr6:coauthVersionLast="47" xr6:coauthVersionMax="47" xr10:uidLastSave="{00000000-0000-0000-0000-000000000000}"/>
  <bookViews>
    <workbookView xWindow="0" yWindow="0" windowWidth="28800" windowHeight="18000" tabRatio="500" xr2:uid="{00000000-000D-0000-FFFF-FFFF00000000}"/>
  </bookViews>
  <sheets>
    <sheet name="Parametros" sheetId="1" r:id="rId1"/>
    <sheet name="Nodos" sheetId="2" r:id="rId2"/>
    <sheet name="OADMs" sheetId="3" r:id="rId3"/>
    <sheet name="Enlaces" sheetId="4" r:id="rId4"/>
    <sheet name="Salidas_Internet" sheetId="5" r:id="rId5"/>
    <sheet name="Clientes" sheetId="6" r:id="rId6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E6" i="5" l="1"/>
  <c r="F6" i="5" s="1"/>
  <c r="D6" i="5"/>
  <c r="F5" i="5"/>
  <c r="F4" i="5"/>
  <c r="F3" i="5"/>
  <c r="H16" i="4"/>
  <c r="H15" i="4"/>
  <c r="H14" i="4"/>
  <c r="H13" i="4"/>
  <c r="H12" i="4"/>
  <c r="H11" i="4"/>
  <c r="H10" i="4"/>
  <c r="H9" i="4"/>
  <c r="H8" i="4"/>
  <c r="H7" i="4"/>
  <c r="H6" i="4"/>
  <c r="H5" i="4"/>
  <c r="H4" i="4"/>
  <c r="H3" i="4"/>
  <c r="G31" i="3"/>
  <c r="H31" i="3" s="1"/>
  <c r="I31" i="3" s="1"/>
  <c r="G30" i="3"/>
  <c r="H30" i="3" s="1"/>
  <c r="I30" i="3" s="1"/>
  <c r="G29" i="3"/>
  <c r="H29" i="3" s="1"/>
  <c r="I29" i="3" s="1"/>
  <c r="G28" i="3"/>
  <c r="H28" i="3" s="1"/>
  <c r="I28" i="3" s="1"/>
  <c r="H27" i="3"/>
  <c r="I27" i="3" s="1"/>
  <c r="G27" i="3"/>
  <c r="H26" i="3"/>
  <c r="I26" i="3" s="1"/>
  <c r="G26" i="3"/>
  <c r="G25" i="3"/>
  <c r="H25" i="3" s="1"/>
  <c r="I25" i="3" s="1"/>
  <c r="G24" i="3"/>
  <c r="H24" i="3" s="1"/>
  <c r="I24" i="3" s="1"/>
  <c r="G23" i="3"/>
  <c r="H23" i="3" s="1"/>
  <c r="I23" i="3" s="1"/>
  <c r="G22" i="3"/>
  <c r="H22" i="3" s="1"/>
  <c r="I22" i="3" s="1"/>
  <c r="G21" i="3"/>
  <c r="H21" i="3" s="1"/>
  <c r="I21" i="3" s="1"/>
  <c r="G20" i="3"/>
  <c r="H20" i="3" s="1"/>
  <c r="I20" i="3" s="1"/>
  <c r="H19" i="3"/>
  <c r="I19" i="3" s="1"/>
  <c r="G19" i="3"/>
  <c r="G18" i="3"/>
  <c r="H18" i="3" s="1"/>
  <c r="I18" i="3" s="1"/>
  <c r="H17" i="3"/>
  <c r="I17" i="3" s="1"/>
  <c r="G17" i="3"/>
  <c r="G16" i="3"/>
  <c r="H16" i="3" s="1"/>
  <c r="I16" i="3" s="1"/>
  <c r="G15" i="3"/>
  <c r="H15" i="3" s="1"/>
  <c r="I15" i="3" s="1"/>
  <c r="G14" i="3"/>
  <c r="H14" i="3" s="1"/>
  <c r="I14" i="3" s="1"/>
  <c r="G13" i="3"/>
  <c r="H13" i="3" s="1"/>
  <c r="I13" i="3" s="1"/>
  <c r="G12" i="3"/>
  <c r="H12" i="3" s="1"/>
  <c r="I12" i="3" s="1"/>
  <c r="H11" i="3"/>
  <c r="I11" i="3" s="1"/>
  <c r="G11" i="3"/>
  <c r="G10" i="3"/>
  <c r="H10" i="3" s="1"/>
  <c r="I10" i="3" s="1"/>
  <c r="H9" i="3"/>
  <c r="I9" i="3" s="1"/>
  <c r="G9" i="3"/>
  <c r="G8" i="3"/>
  <c r="H8" i="3" s="1"/>
  <c r="I8" i="3" s="1"/>
  <c r="G7" i="3"/>
  <c r="H7" i="3" s="1"/>
  <c r="I7" i="3" s="1"/>
  <c r="G6" i="3"/>
  <c r="H6" i="3" s="1"/>
  <c r="I6" i="3" s="1"/>
  <c r="G5" i="3"/>
  <c r="H5" i="3" s="1"/>
  <c r="I5" i="3" s="1"/>
  <c r="G4" i="3"/>
  <c r="H4" i="3" s="1"/>
  <c r="I4" i="3" s="1"/>
  <c r="G3" i="3"/>
  <c r="H3" i="3" s="1"/>
  <c r="I3" i="3" s="1"/>
  <c r="K11" i="2"/>
  <c r="L11" i="2" s="1"/>
  <c r="M11" i="2" s="1"/>
  <c r="J11" i="2"/>
  <c r="G11" i="2"/>
  <c r="F11" i="2"/>
  <c r="K10" i="2"/>
  <c r="L10" i="2" s="1"/>
  <c r="M10" i="2" s="1"/>
  <c r="J10" i="2"/>
  <c r="F10" i="2"/>
  <c r="G10" i="2" s="1"/>
  <c r="K9" i="2"/>
  <c r="L9" i="2" s="1"/>
  <c r="M9" i="2" s="1"/>
  <c r="J9" i="2"/>
  <c r="F9" i="2"/>
  <c r="G9" i="2" s="1"/>
  <c r="K8" i="2"/>
  <c r="L8" i="2" s="1"/>
  <c r="M8" i="2" s="1"/>
  <c r="J8" i="2"/>
  <c r="G8" i="2"/>
  <c r="F8" i="2"/>
  <c r="K7" i="2"/>
  <c r="L7" i="2" s="1"/>
  <c r="M7" i="2" s="1"/>
  <c r="J7" i="2"/>
  <c r="G7" i="2"/>
  <c r="F7" i="2"/>
  <c r="K6" i="2"/>
  <c r="L6" i="2" s="1"/>
  <c r="M6" i="2" s="1"/>
  <c r="J6" i="2"/>
  <c r="F6" i="2"/>
  <c r="G6" i="2" s="1"/>
  <c r="K5" i="2"/>
  <c r="L5" i="2" s="1"/>
  <c r="M5" i="2" s="1"/>
  <c r="J5" i="2"/>
  <c r="F5" i="2"/>
  <c r="G5" i="2" s="1"/>
  <c r="K4" i="2"/>
  <c r="L4" i="2" s="1"/>
  <c r="M4" i="2" s="1"/>
  <c r="J4" i="2"/>
  <c r="G4" i="2"/>
  <c r="F4" i="2"/>
  <c r="K3" i="2"/>
  <c r="L3" i="2" s="1"/>
  <c r="M3" i="2" s="1"/>
  <c r="J3" i="2"/>
  <c r="G3" i="2"/>
  <c r="F3" i="2"/>
  <c r="B21" i="1"/>
  <c r="E20" i="1"/>
  <c r="F20" i="1" s="1"/>
  <c r="D20" i="1"/>
  <c r="D19" i="1"/>
  <c r="E19" i="1" s="1"/>
  <c r="F19" i="1" s="1"/>
  <c r="D18" i="1"/>
  <c r="D21" i="1" s="1"/>
  <c r="D17" i="1"/>
  <c r="E17" i="1" s="1"/>
  <c r="F17" i="1" l="1"/>
  <c r="E18" i="1"/>
  <c r="F18" i="1" s="1"/>
  <c r="F21" i="1" l="1"/>
  <c r="B23" i="1" s="1"/>
  <c r="E21" i="1"/>
</calcChain>
</file>

<file path=xl/sharedStrings.xml><?xml version="1.0" encoding="utf-8"?>
<sst xmlns="http://schemas.openxmlformats.org/spreadsheetml/2006/main" count="1773" uniqueCount="512">
  <si>
    <t>PARÁMETROS DE DISEÑO E INGENIERÍA DE TRÁFICO — XCIEN Saltillo</t>
  </si>
  <si>
    <t>Parámetro</t>
  </si>
  <si>
    <t>Valor</t>
  </si>
  <si>
    <t>Notas</t>
  </si>
  <si>
    <t>Penetración objetivo de mercado</t>
  </si>
  <si>
    <t>5% de las unidades económicas (INEGI 2025)</t>
  </si>
  <si>
    <t>Sobresuscripción (OB)</t>
  </si>
  <si>
    <t>Relación 4:1 sobre el ancho de banda comprometido</t>
  </si>
  <si>
    <t>Velocidad de referencia por usuario</t>
  </si>
  <si>
    <t>200 / 200 Mbps</t>
  </si>
  <si>
    <t>Servicio dedicado simétrico</t>
  </si>
  <si>
    <t>Canales CWDM por hilo de FO</t>
  </si>
  <si>
    <t>9 clientes (λ) por hilo — input del reto</t>
  </si>
  <si>
    <t>Ocupación objetivo de acceso</t>
  </si>
  <si>
    <t>Meta de llenado de λ antes de crecer (OADM)</t>
  </si>
  <si>
    <t>Umbral Amarillo (saturación)</t>
  </si>
  <si>
    <t>Ocupación/utilización 60–80%</t>
  </si>
  <si>
    <t>Umbral de crecimiento</t>
  </si>
  <si>
    <t>Disparar crecimiento bajo demanda al superar 70%</t>
  </si>
  <si>
    <t>Umbral Rojo (saturación)</t>
  </si>
  <si>
    <t>Ocupación/utilización &gt; 80%</t>
  </si>
  <si>
    <t>Capacidad base del anillo de transporte</t>
  </si>
  <si>
    <t>10 Gbps</t>
  </si>
  <si>
    <t>Crecimiento a 20 / 100 Gbps</t>
  </si>
  <si>
    <t>Capacidad objetivo salidas a Internet</t>
  </si>
  <si>
    <t>100 Gbps</t>
  </si>
  <si>
    <t>Esquema DRP (2 IP Transit + 1 LD Mty)</t>
  </si>
  <si>
    <t>Fibra óptica</t>
  </si>
  <si>
    <t>48 hilos (24 acceso)</t>
  </si>
  <si>
    <t>24 hilos dedicados a la red de acceso CWDM</t>
  </si>
  <si>
    <t>DIMENSIONAMIENTO — CÁLCULO DE TRÁFICO Y SALIDA A INTERNET (penetración 5%, OB 4:1)</t>
  </si>
  <si>
    <t>Segmento</t>
  </si>
  <si>
    <t>Empresas (mercado)</t>
  </si>
  <si>
    <t>Capacidad x cliente (Mbps)</t>
  </si>
  <si>
    <t>Clientes (5%)</t>
  </si>
  <si>
    <t>BW comprometido (Mbps)</t>
  </si>
  <si>
    <t>BW efectivo c/OB (Mbps)</t>
  </si>
  <si>
    <t>Micro</t>
  </si>
  <si>
    <t>PyMe</t>
  </si>
  <si>
    <t>Empresarial</t>
  </si>
  <si>
    <t>Corporativo</t>
  </si>
  <si>
    <t>TOTAL</t>
  </si>
  <si>
    <t>Salida a Internet requerida (Gbps)</t>
  </si>
  <si>
    <t>BW efectivo total ÷ 1000 — contra objetivo de 100 Gbps</t>
  </si>
  <si>
    <t>CAPACIDAD Y SATURACIÓN POR NODO (PoP / Hub)</t>
  </si>
  <si>
    <t>Hostname</t>
  </si>
  <si>
    <t>Región</t>
  </si>
  <si>
    <t>Rol</t>
  </si>
  <si>
    <t>Cap. Uplink Transp. (Gbps)</t>
  </si>
  <si>
    <t>Tráfico Comprom. (Gbps)</t>
  </si>
  <si>
    <t>% Sat. Transporte</t>
  </si>
  <si>
    <t>Nivel Transporte</t>
  </si>
  <si>
    <t>Hilos Acceso Asig.</t>
  </si>
  <si>
    <t>OADMs</t>
  </si>
  <si>
    <t>λ Capacidad</t>
  </si>
  <si>
    <t>Clientes / λ Usadas</t>
  </si>
  <si>
    <t>% Ocup. Acceso</t>
  </si>
  <si>
    <t>Nivel Acceso</t>
  </si>
  <si>
    <t>RN1</t>
  </si>
  <si>
    <t>Norte</t>
  </si>
  <si>
    <t>Router Core / Hub</t>
  </si>
  <si>
    <t>RN3</t>
  </si>
  <si>
    <t>Router Hub</t>
  </si>
  <si>
    <t>SW-NORTE-1</t>
  </si>
  <si>
    <t>Switch Distribución / Hub</t>
  </si>
  <si>
    <t>SW-NORTE-2</t>
  </si>
  <si>
    <t>R05</t>
  </si>
  <si>
    <t>Oeste</t>
  </si>
  <si>
    <t>Router Agregación / Hub</t>
  </si>
  <si>
    <t>R06</t>
  </si>
  <si>
    <t>RS9</t>
  </si>
  <si>
    <t>Este</t>
  </si>
  <si>
    <t>Router Borde / Hub</t>
  </si>
  <si>
    <t>R07</t>
  </si>
  <si>
    <t>Sur</t>
  </si>
  <si>
    <t>RS8</t>
  </si>
  <si>
    <t>RED DE ACCESO CWDM — OADMs / λ POR HILO DE FO</t>
  </si>
  <si>
    <t>OADM_ID</t>
  </si>
  <si>
    <t>Nodo Hub</t>
  </si>
  <si>
    <t>Modelo</t>
  </si>
  <si>
    <t>Hilo FO</t>
  </si>
  <si>
    <t>λ / Clientes Usados</t>
  </si>
  <si>
    <t>% Ocupación</t>
  </si>
  <si>
    <t>Nivel</t>
  </si>
  <si>
    <t>OADM-RN1-1</t>
  </si>
  <si>
    <t>Raisecom RC-OADM CWDM 1:4/1:8 (Pasivo)</t>
  </si>
  <si>
    <t>H01</t>
  </si>
  <si>
    <t>OADM-RN1-2</t>
  </si>
  <si>
    <t>H02</t>
  </si>
  <si>
    <t>OADM-RN1-3</t>
  </si>
  <si>
    <t>H03</t>
  </si>
  <si>
    <t>OADM-RN1-4</t>
  </si>
  <si>
    <t>H04</t>
  </si>
  <si>
    <t>OADM-RN1-5</t>
  </si>
  <si>
    <t>H05</t>
  </si>
  <si>
    <t>OADM-RN3-1</t>
  </si>
  <si>
    <t>OADM-RN3-2</t>
  </si>
  <si>
    <t>OADM-RN3-3</t>
  </si>
  <si>
    <t>OADM-RN3-4</t>
  </si>
  <si>
    <t>OADM-SW-NORTE-1-1</t>
  </si>
  <si>
    <t>OADM-SW-NORTE-1-2</t>
  </si>
  <si>
    <t>OADM-SW-NORTE-1-3</t>
  </si>
  <si>
    <t>OADM-SW-NORTE-2-1</t>
  </si>
  <si>
    <t>OADM-SW-NORTE-2-2</t>
  </si>
  <si>
    <t>OADM-SW-NORTE-2-3</t>
  </si>
  <si>
    <t>OADM-R05-1</t>
  </si>
  <si>
    <t>OADM-R05-2</t>
  </si>
  <si>
    <t>OADM-R05-3</t>
  </si>
  <si>
    <t>OADM-R06-1</t>
  </si>
  <si>
    <t>OADM-R06-2</t>
  </si>
  <si>
    <t>OADM-RS9-1</t>
  </si>
  <si>
    <t>OADM-RS9-2</t>
  </si>
  <si>
    <t>OADM-R07-1</t>
  </si>
  <si>
    <t>OADM-R07-2</t>
  </si>
  <si>
    <t>OADM-R07-3</t>
  </si>
  <si>
    <t>OADM-R07-4</t>
  </si>
  <si>
    <t>OADM-RS8-1</t>
  </si>
  <si>
    <t>OADM-RS8-2</t>
  </si>
  <si>
    <t>OADM-RS8-3</t>
  </si>
  <si>
    <t>ENLACES DE TRANSPORTE — ANILLO G.8032 / MPLS-IP</t>
  </si>
  <si>
    <t>Enlace #</t>
  </si>
  <si>
    <t>Nodo A</t>
  </si>
  <si>
    <t>Nodo B</t>
  </si>
  <si>
    <t>Tecnología</t>
  </si>
  <si>
    <t>Capacidad (Gbps)</t>
  </si>
  <si>
    <t>Tráfico (Gbps)</t>
  </si>
  <si>
    <t>% Utilización</t>
  </si>
  <si>
    <t>RN2</t>
  </si>
  <si>
    <t>FO Monomodo</t>
  </si>
  <si>
    <t>RN4</t>
  </si>
  <si>
    <t>Norte-Oeste</t>
  </si>
  <si>
    <t>Oeste-Sur</t>
  </si>
  <si>
    <t>Norte-Este</t>
  </si>
  <si>
    <t>Sur-Este</t>
  </si>
  <si>
    <t>SALIDAS A INTERNET (DRP) — 2 IP TRANSIT + 1 LD MTY</t>
  </si>
  <si>
    <t>Salida</t>
  </si>
  <si>
    <t>Tipo</t>
  </si>
  <si>
    <t>Ubicación</t>
  </si>
  <si>
    <t>IP Transit 1</t>
  </si>
  <si>
    <t>IP Transit</t>
  </si>
  <si>
    <t>JOLLA / Core</t>
  </si>
  <si>
    <t>IP Transit 2</t>
  </si>
  <si>
    <t>LD Monterrey</t>
  </si>
  <si>
    <t>Larga Distancia (DRP)</t>
  </si>
  <si>
    <t>Enlace LD a Mty</t>
  </si>
  <si>
    <t>CLIENTES ACTIVOS (CWDM) — REGISTRO OPERATIVO (DATOS DEMO)</t>
  </si>
  <si>
    <t>Cliente_ID</t>
  </si>
  <si>
    <t>Nombre</t>
  </si>
  <si>
    <t>Lambda (nm)</t>
  </si>
  <si>
    <t>Velocidad (Mbps)</t>
  </si>
  <si>
    <t>Estado</t>
  </si>
  <si>
    <t>CL0001</t>
  </si>
  <si>
    <t>Cliente NOR-001</t>
  </si>
  <si>
    <t>Activo</t>
  </si>
  <si>
    <t>CL0002</t>
  </si>
  <si>
    <t>Cliente NOR-002</t>
  </si>
  <si>
    <t>CL0003</t>
  </si>
  <si>
    <t>Cliente NOR-003</t>
  </si>
  <si>
    <t>CL0004</t>
  </si>
  <si>
    <t>Cliente NOR-004</t>
  </si>
  <si>
    <t>CL0005</t>
  </si>
  <si>
    <t>Cliente NOR-005</t>
  </si>
  <si>
    <t>CL0006</t>
  </si>
  <si>
    <t>Cliente NOR-006</t>
  </si>
  <si>
    <t>CL0007</t>
  </si>
  <si>
    <t>Cliente NOR-007</t>
  </si>
  <si>
    <t>CL0008</t>
  </si>
  <si>
    <t>Cliente NOR-008</t>
  </si>
  <si>
    <t>CL0009</t>
  </si>
  <si>
    <t>Cliente NOR-009</t>
  </si>
  <si>
    <t>CL0010</t>
  </si>
  <si>
    <t>Cliente NOR-010</t>
  </si>
  <si>
    <t>CL0011</t>
  </si>
  <si>
    <t>Cliente NOR-011</t>
  </si>
  <si>
    <t>CL0012</t>
  </si>
  <si>
    <t>Cliente NOR-012</t>
  </si>
  <si>
    <t>CL0013</t>
  </si>
  <si>
    <t>Cliente NOR-013</t>
  </si>
  <si>
    <t>CL0014</t>
  </si>
  <si>
    <t>Cliente NOR-014</t>
  </si>
  <si>
    <t>CL0015</t>
  </si>
  <si>
    <t>Cliente NOR-015</t>
  </si>
  <si>
    <t>CL0016</t>
  </si>
  <si>
    <t>Cliente NOR-016</t>
  </si>
  <si>
    <t>CL0017</t>
  </si>
  <si>
    <t>Cliente NOR-017</t>
  </si>
  <si>
    <t>CL0018</t>
  </si>
  <si>
    <t>Cliente NOR-018</t>
  </si>
  <si>
    <t>CL0019</t>
  </si>
  <si>
    <t>Cliente NOR-019</t>
  </si>
  <si>
    <t>CL0020</t>
  </si>
  <si>
    <t>Cliente NOR-020</t>
  </si>
  <si>
    <t>CL0021</t>
  </si>
  <si>
    <t>Cliente NOR-021</t>
  </si>
  <si>
    <t>CL0022</t>
  </si>
  <si>
    <t>Cliente NOR-022</t>
  </si>
  <si>
    <t>CL0023</t>
  </si>
  <si>
    <t>Cliente NOR-023</t>
  </si>
  <si>
    <t>CL0024</t>
  </si>
  <si>
    <t>Cliente NOR-024</t>
  </si>
  <si>
    <t>CL0025</t>
  </si>
  <si>
    <t>Cliente NOR-025</t>
  </si>
  <si>
    <t>CL0026</t>
  </si>
  <si>
    <t>Cliente NOR-026</t>
  </si>
  <si>
    <t>CL0027</t>
  </si>
  <si>
    <t>Cliente NOR-027</t>
  </si>
  <si>
    <t>CL0028</t>
  </si>
  <si>
    <t>Cliente NOR-028</t>
  </si>
  <si>
    <t>CL0029</t>
  </si>
  <si>
    <t>Cliente NOR-029</t>
  </si>
  <si>
    <t>CL0030</t>
  </si>
  <si>
    <t>Cliente NOR-030</t>
  </si>
  <si>
    <t>CL0031</t>
  </si>
  <si>
    <t>Cliente NOR-031</t>
  </si>
  <si>
    <t>CL0032</t>
  </si>
  <si>
    <t>Cliente NOR-032</t>
  </si>
  <si>
    <t>CL0033</t>
  </si>
  <si>
    <t>Cliente NOR-033</t>
  </si>
  <si>
    <t>CL0034</t>
  </si>
  <si>
    <t>Cliente NOR-034</t>
  </si>
  <si>
    <t>CL0035</t>
  </si>
  <si>
    <t>Cliente NOR-035</t>
  </si>
  <si>
    <t>CL0036</t>
  </si>
  <si>
    <t>Cliente NOR-036</t>
  </si>
  <si>
    <t>CL0037</t>
  </si>
  <si>
    <t>Cliente NOR-037</t>
  </si>
  <si>
    <t>CL0038</t>
  </si>
  <si>
    <t>Cliente NOR-038</t>
  </si>
  <si>
    <t>CL0039</t>
  </si>
  <si>
    <t>Cliente NOR-039</t>
  </si>
  <si>
    <t>CL0040</t>
  </si>
  <si>
    <t>Cliente NOR-040</t>
  </si>
  <si>
    <t>CL0041</t>
  </si>
  <si>
    <t>Cliente NOR-041</t>
  </si>
  <si>
    <t>CL0042</t>
  </si>
  <si>
    <t>Cliente NOR-042</t>
  </si>
  <si>
    <t>CL0043</t>
  </si>
  <si>
    <t>Cliente NOR-043</t>
  </si>
  <si>
    <t>CL0044</t>
  </si>
  <si>
    <t>Cliente NOR-044</t>
  </si>
  <si>
    <t>CL0045</t>
  </si>
  <si>
    <t>Cliente NOR-045</t>
  </si>
  <si>
    <t>CL0046</t>
  </si>
  <si>
    <t>Cliente NOR-046</t>
  </si>
  <si>
    <t>CL0047</t>
  </si>
  <si>
    <t>Cliente NOR-047</t>
  </si>
  <si>
    <t>CL0048</t>
  </si>
  <si>
    <t>Cliente NOR-048</t>
  </si>
  <si>
    <t>CL0049</t>
  </si>
  <si>
    <t>Cliente NOR-049</t>
  </si>
  <si>
    <t>CL0050</t>
  </si>
  <si>
    <t>Cliente NOR-050</t>
  </si>
  <si>
    <t>CL0051</t>
  </si>
  <si>
    <t>Cliente NOR-051</t>
  </si>
  <si>
    <t>CL0052</t>
  </si>
  <si>
    <t>Cliente NOR-052</t>
  </si>
  <si>
    <t>CL0053</t>
  </si>
  <si>
    <t>Cliente NOR-053</t>
  </si>
  <si>
    <t>CL0054</t>
  </si>
  <si>
    <t>Cliente NOR-054</t>
  </si>
  <si>
    <t>CL0055</t>
  </si>
  <si>
    <t>Cliente NOR-055</t>
  </si>
  <si>
    <t>CL0056</t>
  </si>
  <si>
    <t>Cliente NOR-056</t>
  </si>
  <si>
    <t>CL0057</t>
  </si>
  <si>
    <t>Cliente NOR-057</t>
  </si>
  <si>
    <t>CL0058</t>
  </si>
  <si>
    <t>Cliente NOR-058</t>
  </si>
  <si>
    <t>CL0059</t>
  </si>
  <si>
    <t>Cliente NOR-059</t>
  </si>
  <si>
    <t>CL0060</t>
  </si>
  <si>
    <t>Cliente NOR-060</t>
  </si>
  <si>
    <t>CL0061</t>
  </si>
  <si>
    <t>Cliente NOR-061</t>
  </si>
  <si>
    <t>CL0062</t>
  </si>
  <si>
    <t>Cliente NOR-062</t>
  </si>
  <si>
    <t>CL0063</t>
  </si>
  <si>
    <t>Cliente NOR-063</t>
  </si>
  <si>
    <t>CL0064</t>
  </si>
  <si>
    <t>Cliente NOR-064</t>
  </si>
  <si>
    <t>CL0065</t>
  </si>
  <si>
    <t>Cliente NOR-065</t>
  </si>
  <si>
    <t>CL0066</t>
  </si>
  <si>
    <t>Cliente NOR-066</t>
  </si>
  <si>
    <t>CL0067</t>
  </si>
  <si>
    <t>Cliente NOR-067</t>
  </si>
  <si>
    <t>CL0068</t>
  </si>
  <si>
    <t>Cliente NOR-068</t>
  </si>
  <si>
    <t>CL0069</t>
  </si>
  <si>
    <t>Cliente NOR-069</t>
  </si>
  <si>
    <t>CL0070</t>
  </si>
  <si>
    <t>Cliente NOR-070</t>
  </si>
  <si>
    <t>CL0071</t>
  </si>
  <si>
    <t>Cliente NOR-071</t>
  </si>
  <si>
    <t>CL0072</t>
  </si>
  <si>
    <t>Cliente NOR-072</t>
  </si>
  <si>
    <t>CL0073</t>
  </si>
  <si>
    <t>Cliente NOR-073</t>
  </si>
  <si>
    <t>CL0074</t>
  </si>
  <si>
    <t>Cliente NOR-074</t>
  </si>
  <si>
    <t>CL0075</t>
  </si>
  <si>
    <t>Cliente NOR-075</t>
  </si>
  <si>
    <t>CL0076</t>
  </si>
  <si>
    <t>Cliente NOR-076</t>
  </si>
  <si>
    <t>CL0077</t>
  </si>
  <si>
    <t>Cliente NOR-077</t>
  </si>
  <si>
    <t>CL0078</t>
  </si>
  <si>
    <t>Cliente NOR-078</t>
  </si>
  <si>
    <t>CL0079</t>
  </si>
  <si>
    <t>Cliente NOR-079</t>
  </si>
  <si>
    <t>CL0080</t>
  </si>
  <si>
    <t>Cliente NOR-080</t>
  </si>
  <si>
    <t>CL0081</t>
  </si>
  <si>
    <t>Cliente NOR-081</t>
  </si>
  <si>
    <t>CL0082</t>
  </si>
  <si>
    <t>Cliente NOR-082</t>
  </si>
  <si>
    <t>CL0083</t>
  </si>
  <si>
    <t>Cliente NOR-083</t>
  </si>
  <si>
    <t>CL0084</t>
  </si>
  <si>
    <t>Cliente NOR-084</t>
  </si>
  <si>
    <t>CL0085</t>
  </si>
  <si>
    <t>Cliente NOR-085</t>
  </si>
  <si>
    <t>CL0086</t>
  </si>
  <si>
    <t>Cliente NOR-086</t>
  </si>
  <si>
    <t>CL0087</t>
  </si>
  <si>
    <t>Cliente NOR-087</t>
  </si>
  <si>
    <t>CL0088</t>
  </si>
  <si>
    <t>Cliente NOR-088</t>
  </si>
  <si>
    <t>CL0089</t>
  </si>
  <si>
    <t>Cliente NOR-089</t>
  </si>
  <si>
    <t>CL0090</t>
  </si>
  <si>
    <t>Cliente NOR-090</t>
  </si>
  <si>
    <t>CL0091</t>
  </si>
  <si>
    <t>Cliente NOR-091</t>
  </si>
  <si>
    <t>CL0092</t>
  </si>
  <si>
    <t>Cliente NOR-092</t>
  </si>
  <si>
    <t>CL0093</t>
  </si>
  <si>
    <t>Cliente NOR-093</t>
  </si>
  <si>
    <t>CL0094</t>
  </si>
  <si>
    <t>Cliente NOR-094</t>
  </si>
  <si>
    <t>CL0095</t>
  </si>
  <si>
    <t>Cliente NOR-095</t>
  </si>
  <si>
    <t>CL0096</t>
  </si>
  <si>
    <t>Cliente NOR-096</t>
  </si>
  <si>
    <t>CL0097</t>
  </si>
  <si>
    <t>Cliente NOR-097</t>
  </si>
  <si>
    <t>CL0098</t>
  </si>
  <si>
    <t>Cliente OES-098</t>
  </si>
  <si>
    <t>CL0099</t>
  </si>
  <si>
    <t>Cliente OES-099</t>
  </si>
  <si>
    <t>CL0100</t>
  </si>
  <si>
    <t>Cliente OES-100</t>
  </si>
  <si>
    <t>CL0101</t>
  </si>
  <si>
    <t>Cliente OES-101</t>
  </si>
  <si>
    <t>CL0102</t>
  </si>
  <si>
    <t>Cliente OES-102</t>
  </si>
  <si>
    <t>CL0103</t>
  </si>
  <si>
    <t>Cliente OES-103</t>
  </si>
  <si>
    <t>CL0104</t>
  </si>
  <si>
    <t>Cliente OES-104</t>
  </si>
  <si>
    <t>CL0105</t>
  </si>
  <si>
    <t>Cliente OES-105</t>
  </si>
  <si>
    <t>CL0106</t>
  </si>
  <si>
    <t>Cliente OES-106</t>
  </si>
  <si>
    <t>CL0107</t>
  </si>
  <si>
    <t>Cliente OES-107</t>
  </si>
  <si>
    <t>CL0108</t>
  </si>
  <si>
    <t>Cliente OES-108</t>
  </si>
  <si>
    <t>CL0109</t>
  </si>
  <si>
    <t>Cliente OES-109</t>
  </si>
  <si>
    <t>CL0110</t>
  </si>
  <si>
    <t>Cliente OES-110</t>
  </si>
  <si>
    <t>CL0111</t>
  </si>
  <si>
    <t>Cliente OES-111</t>
  </si>
  <si>
    <t>CL0112</t>
  </si>
  <si>
    <t>Cliente OES-112</t>
  </si>
  <si>
    <t>CL0113</t>
  </si>
  <si>
    <t>Cliente OES-113</t>
  </si>
  <si>
    <t>CL0114</t>
  </si>
  <si>
    <t>Cliente OES-114</t>
  </si>
  <si>
    <t>CL0115</t>
  </si>
  <si>
    <t>Cliente OES-115</t>
  </si>
  <si>
    <t>CL0116</t>
  </si>
  <si>
    <t>Cliente OES-116</t>
  </si>
  <si>
    <t>CL0117</t>
  </si>
  <si>
    <t>Cliente OES-117</t>
  </si>
  <si>
    <t>CL0118</t>
  </si>
  <si>
    <t>Cliente OES-118</t>
  </si>
  <si>
    <t>CL0119</t>
  </si>
  <si>
    <t>Cliente OES-119</t>
  </si>
  <si>
    <t>CL0120</t>
  </si>
  <si>
    <t>Cliente OES-120</t>
  </si>
  <si>
    <t>CL0121</t>
  </si>
  <si>
    <t>Cliente OES-121</t>
  </si>
  <si>
    <t>CL0122</t>
  </si>
  <si>
    <t>Cliente OES-122</t>
  </si>
  <si>
    <t>CL0123</t>
  </si>
  <si>
    <t>Cliente OES-123</t>
  </si>
  <si>
    <t>CL0124</t>
  </si>
  <si>
    <t>Cliente OES-124</t>
  </si>
  <si>
    <t>CL0125</t>
  </si>
  <si>
    <t>Cliente EST-125</t>
  </si>
  <si>
    <t>CL0126</t>
  </si>
  <si>
    <t>Cliente EST-126</t>
  </si>
  <si>
    <t>CL0127</t>
  </si>
  <si>
    <t>Cliente EST-127</t>
  </si>
  <si>
    <t>CL0128</t>
  </si>
  <si>
    <t>Cliente EST-128</t>
  </si>
  <si>
    <t>CL0129</t>
  </si>
  <si>
    <t>Cliente EST-129</t>
  </si>
  <si>
    <t>CL0130</t>
  </si>
  <si>
    <t>Cliente EST-130</t>
  </si>
  <si>
    <t>CL0131</t>
  </si>
  <si>
    <t>Cliente EST-131</t>
  </si>
  <si>
    <t>CL0132</t>
  </si>
  <si>
    <t>Cliente SUR-132</t>
  </si>
  <si>
    <t>CL0133</t>
  </si>
  <si>
    <t>Cliente SUR-133</t>
  </si>
  <si>
    <t>CL0134</t>
  </si>
  <si>
    <t>Cliente SUR-134</t>
  </si>
  <si>
    <t>CL0135</t>
  </si>
  <si>
    <t>Cliente SUR-135</t>
  </si>
  <si>
    <t>CL0136</t>
  </si>
  <si>
    <t>Cliente SUR-136</t>
  </si>
  <si>
    <t>CL0137</t>
  </si>
  <si>
    <t>Cliente SUR-137</t>
  </si>
  <si>
    <t>CL0138</t>
  </si>
  <si>
    <t>Cliente SUR-138</t>
  </si>
  <si>
    <t>CL0139</t>
  </si>
  <si>
    <t>Cliente SUR-139</t>
  </si>
  <si>
    <t>CL0140</t>
  </si>
  <si>
    <t>Cliente SUR-140</t>
  </si>
  <si>
    <t>CL0141</t>
  </si>
  <si>
    <t>Cliente SUR-141</t>
  </si>
  <si>
    <t>CL0142</t>
  </si>
  <si>
    <t>Cliente SUR-142</t>
  </si>
  <si>
    <t>CL0143</t>
  </si>
  <si>
    <t>Cliente SUR-143</t>
  </si>
  <si>
    <t>CL0144</t>
  </si>
  <si>
    <t>Cliente SUR-144</t>
  </si>
  <si>
    <t>CL0145</t>
  </si>
  <si>
    <t>Cliente SUR-145</t>
  </si>
  <si>
    <t>CL0146</t>
  </si>
  <si>
    <t>Cliente SUR-146</t>
  </si>
  <si>
    <t>CL0147</t>
  </si>
  <si>
    <t>Cliente SUR-147</t>
  </si>
  <si>
    <t>CL0148</t>
  </si>
  <si>
    <t>Cliente SUR-148</t>
  </si>
  <si>
    <t>CL0149</t>
  </si>
  <si>
    <t>Cliente SUR-149</t>
  </si>
  <si>
    <t>CL0150</t>
  </si>
  <si>
    <t>Cliente SUR-150</t>
  </si>
  <si>
    <t>CL0151</t>
  </si>
  <si>
    <t>Cliente SUR-151</t>
  </si>
  <si>
    <t>CL0152</t>
  </si>
  <si>
    <t>Cliente SUR-152</t>
  </si>
  <si>
    <t>CL0153</t>
  </si>
  <si>
    <t>Cliente SUR-153</t>
  </si>
  <si>
    <t>CL0154</t>
  </si>
  <si>
    <t>Cliente SUR-154</t>
  </si>
  <si>
    <t>CL0155</t>
  </si>
  <si>
    <t>Cliente SUR-155</t>
  </si>
  <si>
    <t>CL0156</t>
  </si>
  <si>
    <t>Cliente SUR-156</t>
  </si>
  <si>
    <t>CL0157</t>
  </si>
  <si>
    <t>Cliente SUR-157</t>
  </si>
  <si>
    <t>CL0158</t>
  </si>
  <si>
    <t>Cliente SUR-158</t>
  </si>
  <si>
    <t>CL0159</t>
  </si>
  <si>
    <t>Cliente SUR-159</t>
  </si>
  <si>
    <t>CL0160</t>
  </si>
  <si>
    <t>Cliente SUR-160</t>
  </si>
  <si>
    <t>CL0161</t>
  </si>
  <si>
    <t>Cliente SUR-161</t>
  </si>
  <si>
    <t>CL0162</t>
  </si>
  <si>
    <t>Cliente SUR-162</t>
  </si>
  <si>
    <t>CL0163</t>
  </si>
  <si>
    <t>Cliente SUR-163</t>
  </si>
  <si>
    <t>CL0164</t>
  </si>
  <si>
    <t>Cliente SUR-164</t>
  </si>
  <si>
    <t>CL0165</t>
  </si>
  <si>
    <t>Cliente SUR-165</t>
  </si>
  <si>
    <t>CL0166</t>
  </si>
  <si>
    <t>Cliente SUR-166</t>
  </si>
  <si>
    <t>CL0167</t>
  </si>
  <si>
    <t>Cliente SUR-167</t>
  </si>
  <si>
    <t>CL0168</t>
  </si>
  <si>
    <t>Cliente SUR-168</t>
  </si>
  <si>
    <t>CL0169</t>
  </si>
  <si>
    <t>Cliente SUR-169</t>
  </si>
  <si>
    <t>CL0170</t>
  </si>
  <si>
    <t>Cliente SUR-170</t>
  </si>
  <si>
    <t>CL0171</t>
  </si>
  <si>
    <t>Cliente SUR-171</t>
  </si>
  <si>
    <t>CL0172</t>
  </si>
  <si>
    <t>Cliente SUR-172</t>
  </si>
  <si>
    <t>CL0173</t>
  </si>
  <si>
    <t>Cliente SUR-173</t>
  </si>
  <si>
    <t>CL0174</t>
  </si>
  <si>
    <t>Cliente SUR-174</t>
  </si>
  <si>
    <t>CL0175</t>
  </si>
  <si>
    <t>Cliente SUR-175</t>
  </si>
  <si>
    <t>CL0176</t>
  </si>
  <si>
    <t>Cliente SUR-176</t>
  </si>
  <si>
    <t>CL0177</t>
  </si>
  <si>
    <t>Cliente SUR-177</t>
  </si>
  <si>
    <t>CL0178</t>
  </si>
  <si>
    <t>Cliente SUR-178</t>
  </si>
  <si>
    <t>CL0179</t>
  </si>
  <si>
    <t>Cliente SUR-179</t>
  </si>
  <si>
    <t>CL0180</t>
  </si>
  <si>
    <t>Cliente SUR-180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</si>
</sst>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%"/>
  </numFmts>
  <fonts count="7" x14ac:knownFonts="1">
    <font>
      <sz val="11"/>
      <color theme="1"/>
      <name val="Calibri"/>
      <charset val="1"/>
    </font>
    <font>
      <b/>
      <sz val="13"/>
      <color rgb="FFFFFFFF"/>
      <name val="Arial"/>
      <family val="2"/>
    </font>
    <font>
      <b/>
      <sz val="11"/>
      <color rgb="FFFFFFFF"/>
      <name val="Arial"/>
      <family val="2"/>
    </font>
    <font>
      <sz val="11"/>
      <color rgb="FF000000"/>
      <name val="Arial"/>
      <family val="2"/>
    </font>
    <font>
      <sz val="11"/>
      <color rgb="FF0000FF"/>
      <name val="Arial"/>
      <family val="2"/>
    </font>
    <font>
      <i/>
      <sz val="11"/>
      <color rgb="FF595959"/>
      <name val="Arial"/>
      <family val="2"/>
    </font>
    <font>
      <b/>
      <sz val="11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EDF2F9"/>
        <bgColor rgb="FFEBF5FB"/>
      </patternFill>
    </fill>
    <fill>
      <patternFill patternType="solid">
        <fgColor rgb="FF2E5F8A"/>
        <bgColor rgb="FF595959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4" borderId="0" xfId="0" applyFont="1" applyFill="1" applyAlignment="1">
      <alignment horizontal="left" vertical="center" wrapText="1"/>
    </xf>
    <xf numFmtId="0" fontId="1" fillId="2" borderId="0" xfId="0" applyFont="1" applyFill="1" applyAlignment="1">
      <alignment horizontal="left"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/>
    <xf numFmtId="9" fontId="4" fillId="0" borderId="1" xfId="0" applyNumberFormat="1" applyFont="1" applyBorder="1" applyAlignment="1">
      <alignment horizontal="center" vertical="center" wrapText="1"/>
    </xf>
    <xf numFmtId="0" fontId="5" fillId="0" borderId="1" xfId="0" applyFont="1" applyBorder="1"/>
    <xf numFmtId="0" fontId="3" fillId="3" borderId="1" xfId="0" applyFont="1" applyFill="1" applyBorder="1"/>
    <xf numFmtId="0" fontId="4" fillId="3" borderId="1" xfId="0" applyFont="1" applyFill="1" applyBorder="1" applyAlignment="1">
      <alignment horizontal="center" vertical="center" wrapText="1"/>
    </xf>
    <xf numFmtId="0" fontId="5" fillId="3" borderId="1" xfId="0" applyFont="1" applyFill="1" applyBorder="1"/>
    <xf numFmtId="0" fontId="4" fillId="0" borderId="1" xfId="0" applyFont="1" applyBorder="1" applyAlignment="1">
      <alignment horizontal="center" vertical="center" wrapText="1"/>
    </xf>
    <xf numFmtId="9" fontId="4" fillId="3" borderId="1" xfId="0" applyNumberFormat="1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3" fontId="4" fillId="0" borderId="1" xfId="0" applyNumberFormat="1" applyFont="1" applyBorder="1" applyAlignment="1">
      <alignment horizontal="center" vertical="center" wrapText="1"/>
    </xf>
    <xf numFmtId="3" fontId="3" fillId="0" borderId="1" xfId="0" applyNumberFormat="1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3" fontId="4" fillId="3" borderId="1" xfId="0" applyNumberFormat="1" applyFont="1" applyFill="1" applyBorder="1" applyAlignment="1">
      <alignment horizontal="center" vertical="center" wrapText="1"/>
    </xf>
    <xf numFmtId="3" fontId="3" fillId="3" borderId="1" xfId="0" applyNumberFormat="1" applyFont="1" applyFill="1" applyBorder="1" applyAlignment="1">
      <alignment horizontal="center" vertical="center" wrapText="1"/>
    </xf>
    <xf numFmtId="0" fontId="6" fillId="0" borderId="0" xfId="0" applyFont="1"/>
    <xf numFmtId="3" fontId="6" fillId="0" borderId="1" xfId="0" applyNumberFormat="1" applyFont="1" applyBorder="1" applyAlignment="1">
      <alignment horizontal="center" vertical="center" wrapText="1"/>
    </xf>
    <xf numFmtId="0" fontId="0" fillId="0" borderId="1" xfId="0" applyBorder="1"/>
    <xf numFmtId="0" fontId="6" fillId="0" borderId="1" xfId="0" applyFont="1" applyBorder="1"/>
    <xf numFmtId="164" fontId="6" fillId="0" borderId="1" xfId="0" applyNumberFormat="1" applyFont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164" fontId="4" fillId="0" borderId="1" xfId="0" applyNumberFormat="1" applyFont="1" applyBorder="1" applyAlignment="1">
      <alignment horizontal="center" vertical="center" wrapText="1"/>
    </xf>
    <xf numFmtId="165" fontId="3" fillId="0" borderId="1" xfId="0" applyNumberFormat="1" applyFont="1" applyBorder="1" applyAlignment="1">
      <alignment horizontal="center" vertical="center" wrapText="1"/>
    </xf>
    <xf numFmtId="0" fontId="6" fillId="3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left" vertical="center" wrapText="1"/>
    </xf>
    <xf numFmtId="164" fontId="4" fillId="3" borderId="1" xfId="0" applyNumberFormat="1" applyFont="1" applyFill="1" applyBorder="1" applyAlignment="1">
      <alignment horizontal="center" vertical="center" wrapText="1"/>
    </xf>
    <xf numFmtId="165" fontId="3" fillId="3" borderId="1" xfId="0" applyNumberFormat="1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165" fontId="6" fillId="0" borderId="1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24">
    <dxf>
      <fill>
        <patternFill>
          <bgColor rgb="FFC6EFCE"/>
        </patternFill>
      </fill>
    </dxf>
    <dxf>
      <fill>
        <patternFill>
          <bgColor rgb="FFFFEB9C"/>
        </patternFill>
      </fill>
    </dxf>
    <dxf>
      <fill>
        <patternFill>
          <bgColor rgb="FFFFC7CE"/>
        </patternFill>
      </fill>
    </dxf>
    <dxf>
      <fill>
        <patternFill>
          <bgColor rgb="FFC6EFCE"/>
        </patternFill>
      </fill>
    </dxf>
    <dxf>
      <fill>
        <patternFill>
          <bgColor rgb="FFFFEB9C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EB9C"/>
        </patternFill>
      </fill>
    </dxf>
    <dxf>
      <fill>
        <patternFill>
          <bgColor rgb="FFC6EFCE"/>
        </patternFill>
      </fill>
    </dxf>
    <dxf>
      <fill>
        <patternFill>
          <bgColor rgb="FFC6EFCE"/>
        </patternFill>
      </fill>
    </dxf>
    <dxf>
      <fill>
        <patternFill>
          <bgColor rgb="FFFFEB9C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EB9C"/>
        </patternFill>
      </fill>
    </dxf>
    <dxf>
      <fill>
        <patternFill>
          <bgColor rgb="FFC6EFCE"/>
        </patternFill>
      </fill>
    </dxf>
    <dxf>
      <fill>
        <patternFill>
          <bgColor rgb="FFC6EFCE"/>
        </patternFill>
      </fill>
    </dxf>
    <dxf>
      <fill>
        <patternFill>
          <bgColor rgb="FFFFEB9C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EB9C"/>
        </patternFill>
      </fill>
    </dxf>
    <dxf>
      <fill>
        <patternFill>
          <bgColor rgb="FFC6EFCE"/>
        </patternFill>
      </fill>
    </dxf>
    <dxf>
      <fill>
        <patternFill>
          <bgColor rgb="FFC6EFCE"/>
        </patternFill>
      </fill>
    </dxf>
    <dxf>
      <fill>
        <patternFill>
          <bgColor rgb="FFFFEB9C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EF9E7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EDF2F9"/>
      <rgbColor rgb="FF993366"/>
      <rgbColor rgb="FFFFF9C4"/>
      <rgbColor rgb="FFEAFAF1"/>
      <rgbColor rgb="FF660066"/>
      <rgbColor rgb="FFFF8080"/>
      <rgbColor rgb="FF2E5F8A"/>
      <rgbColor rgb="FFD6E4F0"/>
      <rgbColor rgb="FF000080"/>
      <rgbColor rgb="FFFF00FF"/>
      <rgbColor rgb="FFFDECEA"/>
      <rgbColor rgb="FF00FFFF"/>
      <rgbColor rgb="FF800080"/>
      <rgbColor rgb="FF800000"/>
      <rgbColor rgb="FF008080"/>
      <rgbColor rgb="FF0000FF"/>
      <rgbColor rgb="FF00CCFF"/>
      <rgbColor rgb="FFEBF5FB"/>
      <rgbColor rgb="FFD5F5E3"/>
      <rgbColor rgb="FFFFEB9C"/>
      <rgbColor rgb="FFC8E6C9"/>
      <rgbColor rgb="FFFADBD8"/>
      <rgbColor rgb="FFC6EFCE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AAAAAA"/>
      <rgbColor rgb="FF1F3864"/>
      <rgbColor rgb="FF339966"/>
      <rgbColor rgb="FF003300"/>
      <rgbColor rgb="FF333300"/>
      <rgbColor rgb="FF993300"/>
      <rgbColor rgb="FF993366"/>
      <rgbColor rgb="FF333399"/>
      <rgbColor rgb="FF1A1A1A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3"/>
  <sheetViews>
    <sheetView tabSelected="1" zoomScaleNormal="100" workbookViewId="0">
      <selection activeCell="G1" sqref="G1"/>
    </sheetView>
  </sheetViews>
  <sheetFormatPr baseColWidth="10" defaultColWidth="8.6640625" defaultRowHeight="15" x14ac:dyDescent="0.2"/>
  <cols>
    <col min="1" max="1" width="38" customWidth="1"/>
    <col min="2" max="2" width="20" customWidth="1"/>
    <col min="3" max="3" width="26" customWidth="1"/>
    <col min="4" max="4" width="14" customWidth="1"/>
    <col min="5" max="6" width="22" customWidth="1"/>
  </cols>
  <sheetData>
    <row r="1" spans="1:6" ht="24" customHeight="1" x14ac:dyDescent="0.2">
      <c r="A1" s="2" t="s">
        <v>0</v>
      </c>
      <c r="B1" s="2"/>
      <c r="C1" s="2"/>
      <c r="D1" s="2"/>
      <c r="E1" s="2"/>
      <c r="F1" s="2"/>
    </row>
    <row r="2" spans="1:6" x14ac:dyDescent="0.2">
      <c r="A2" s="3" t="s">
        <v>1</v>
      </c>
      <c r="B2" s="3" t="s">
        <v>2</v>
      </c>
      <c r="C2" s="3" t="s">
        <v>3</v>
      </c>
    </row>
    <row r="3" spans="1:6" x14ac:dyDescent="0.2">
      <c r="A3" s="4" t="s">
        <v>4</v>
      </c>
      <c r="B3" s="5">
        <v>0.05</v>
      </c>
      <c r="C3" s="6" t="s">
        <v>5</v>
      </c>
    </row>
    <row r="4" spans="1:6" x14ac:dyDescent="0.2">
      <c r="A4" s="7" t="s">
        <v>6</v>
      </c>
      <c r="B4" s="8">
        <v>4</v>
      </c>
      <c r="C4" s="9" t="s">
        <v>7</v>
      </c>
    </row>
    <row r="5" spans="1:6" x14ac:dyDescent="0.2">
      <c r="A5" s="4" t="s">
        <v>8</v>
      </c>
      <c r="B5" s="10" t="s">
        <v>9</v>
      </c>
      <c r="C5" s="6" t="s">
        <v>10</v>
      </c>
    </row>
    <row r="6" spans="1:6" x14ac:dyDescent="0.2">
      <c r="A6" s="7" t="s">
        <v>11</v>
      </c>
      <c r="B6" s="8">
        <v>9</v>
      </c>
      <c r="C6" s="9" t="s">
        <v>12</v>
      </c>
    </row>
    <row r="7" spans="1:6" x14ac:dyDescent="0.2">
      <c r="A7" s="4" t="s">
        <v>13</v>
      </c>
      <c r="B7" s="5">
        <v>0.6</v>
      </c>
      <c r="C7" s="6" t="s">
        <v>14</v>
      </c>
    </row>
    <row r="8" spans="1:6" x14ac:dyDescent="0.2">
      <c r="A8" s="7" t="s">
        <v>15</v>
      </c>
      <c r="B8" s="11">
        <v>0.6</v>
      </c>
      <c r="C8" s="9" t="s">
        <v>16</v>
      </c>
    </row>
    <row r="9" spans="1:6" x14ac:dyDescent="0.2">
      <c r="A9" s="4" t="s">
        <v>17</v>
      </c>
      <c r="B9" s="5">
        <v>0.7</v>
      </c>
      <c r="C9" s="6" t="s">
        <v>18</v>
      </c>
    </row>
    <row r="10" spans="1:6" x14ac:dyDescent="0.2">
      <c r="A10" s="7" t="s">
        <v>19</v>
      </c>
      <c r="B10" s="11">
        <v>0.8</v>
      </c>
      <c r="C10" s="9" t="s">
        <v>20</v>
      </c>
    </row>
    <row r="11" spans="1:6" x14ac:dyDescent="0.2">
      <c r="A11" s="4" t="s">
        <v>21</v>
      </c>
      <c r="B11" s="10" t="s">
        <v>22</v>
      </c>
      <c r="C11" s="6" t="s">
        <v>23</v>
      </c>
    </row>
    <row r="12" spans="1:6" x14ac:dyDescent="0.2">
      <c r="A12" s="7" t="s">
        <v>24</v>
      </c>
      <c r="B12" s="8" t="s">
        <v>25</v>
      </c>
      <c r="C12" s="9" t="s">
        <v>26</v>
      </c>
    </row>
    <row r="13" spans="1:6" x14ac:dyDescent="0.2">
      <c r="A13" s="4" t="s">
        <v>27</v>
      </c>
      <c r="B13" s="10" t="s">
        <v>28</v>
      </c>
      <c r="C13" s="6" t="s">
        <v>29</v>
      </c>
    </row>
    <row r="15" spans="1:6" ht="15" customHeight="1" x14ac:dyDescent="0.2">
      <c r="A15" s="1" t="s">
        <v>30</v>
      </c>
      <c r="B15" s="1"/>
      <c r="C15" s="1"/>
      <c r="D15" s="1"/>
      <c r="E15" s="1"/>
      <c r="F15" s="1"/>
    </row>
    <row r="16" spans="1:6" ht="30" x14ac:dyDescent="0.2">
      <c r="A16" s="12" t="s">
        <v>31</v>
      </c>
      <c r="B16" s="12" t="s">
        <v>32</v>
      </c>
      <c r="C16" s="12" t="s">
        <v>33</v>
      </c>
      <c r="D16" s="12" t="s">
        <v>34</v>
      </c>
      <c r="E16" s="12" t="s">
        <v>35</v>
      </c>
      <c r="F16" s="12" t="s">
        <v>36</v>
      </c>
    </row>
    <row r="17" spans="1:6" x14ac:dyDescent="0.2">
      <c r="A17" s="13" t="s">
        <v>37</v>
      </c>
      <c r="B17" s="14">
        <v>37648</v>
      </c>
      <c r="C17" s="10">
        <v>20</v>
      </c>
      <c r="D17" s="15">
        <f>ROUND(B17*$B$3,0)</f>
        <v>1882</v>
      </c>
      <c r="E17" s="15">
        <f>D17*C17</f>
        <v>37640</v>
      </c>
      <c r="F17" s="15">
        <f>E17/$B$4</f>
        <v>9410</v>
      </c>
    </row>
    <row r="18" spans="1:6" x14ac:dyDescent="0.2">
      <c r="A18" s="16" t="s">
        <v>38</v>
      </c>
      <c r="B18" s="17">
        <v>873</v>
      </c>
      <c r="C18" s="8">
        <v>100</v>
      </c>
      <c r="D18" s="18">
        <f>ROUND(B18*$B$3,0)</f>
        <v>44</v>
      </c>
      <c r="E18" s="18">
        <f>D18*C18</f>
        <v>4400</v>
      </c>
      <c r="F18" s="18">
        <f>E18/$B$4</f>
        <v>1100</v>
      </c>
    </row>
    <row r="19" spans="1:6" x14ac:dyDescent="0.2">
      <c r="A19" s="13" t="s">
        <v>39</v>
      </c>
      <c r="B19" s="14">
        <v>268</v>
      </c>
      <c r="C19" s="10">
        <v>200</v>
      </c>
      <c r="D19" s="15">
        <f>ROUND(B19*$B$3,0)</f>
        <v>13</v>
      </c>
      <c r="E19" s="15">
        <f>D19*C19</f>
        <v>2600</v>
      </c>
      <c r="F19" s="15">
        <f>E19/$B$4</f>
        <v>650</v>
      </c>
    </row>
    <row r="20" spans="1:6" x14ac:dyDescent="0.2">
      <c r="A20" s="16" t="s">
        <v>40</v>
      </c>
      <c r="B20" s="17">
        <v>225</v>
      </c>
      <c r="C20" s="8">
        <v>1024</v>
      </c>
      <c r="D20" s="18">
        <f>ROUND(B20*$B$3,0)</f>
        <v>11</v>
      </c>
      <c r="E20" s="18">
        <f>D20*C20</f>
        <v>11264</v>
      </c>
      <c r="F20" s="18">
        <f>E20/$B$4</f>
        <v>2816</v>
      </c>
    </row>
    <row r="21" spans="1:6" x14ac:dyDescent="0.2">
      <c r="A21" s="19" t="s">
        <v>41</v>
      </c>
      <c r="B21" s="20">
        <f>SUM(B17:B20)</f>
        <v>39014</v>
      </c>
      <c r="C21" s="21"/>
      <c r="D21" s="20">
        <f>SUM(D17:D20)</f>
        <v>1950</v>
      </c>
      <c r="E21" s="20">
        <f>SUM(E17:E20)</f>
        <v>55904</v>
      </c>
      <c r="F21" s="20">
        <f>SUM(F17:F20)</f>
        <v>13976</v>
      </c>
    </row>
    <row r="23" spans="1:6" x14ac:dyDescent="0.2">
      <c r="A23" s="22" t="s">
        <v>42</v>
      </c>
      <c r="B23" s="23">
        <f>F21/1000</f>
        <v>13.976000000000001</v>
      </c>
      <c r="C23" s="6" t="s">
        <v>43</v>
      </c>
    </row>
  </sheetData>
  <mergeCells count="2">
    <mergeCell ref="A1:F1"/>
    <mergeCell ref="A15:F15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1"/>
  <sheetViews>
    <sheetView zoomScaleNormal="100" workbookViewId="0">
      <selection sqref="A1:M1"/>
    </sheetView>
  </sheetViews>
  <sheetFormatPr baseColWidth="10" defaultColWidth="8.6640625" defaultRowHeight="15" x14ac:dyDescent="0.2"/>
  <cols>
    <col min="1" max="1" width="13" customWidth="1"/>
    <col min="2" max="2" width="10" customWidth="1"/>
    <col min="3" max="3" width="24" customWidth="1"/>
    <col min="4" max="5" width="15" customWidth="1"/>
    <col min="6" max="7" width="13" customWidth="1"/>
    <col min="8" max="8" width="12" customWidth="1"/>
    <col min="9" max="9" width="8" customWidth="1"/>
    <col min="10" max="10" width="11" customWidth="1"/>
    <col min="11" max="12" width="13" customWidth="1"/>
    <col min="13" max="13" width="12" customWidth="1"/>
  </cols>
  <sheetData>
    <row r="1" spans="1:13" ht="24" customHeight="1" x14ac:dyDescent="0.2">
      <c r="A1" s="2" t="s">
        <v>44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spans="1:13" ht="45" x14ac:dyDescent="0.2">
      <c r="A2" s="3" t="s">
        <v>45</v>
      </c>
      <c r="B2" s="3" t="s">
        <v>46</v>
      </c>
      <c r="C2" s="3" t="s">
        <v>47</v>
      </c>
      <c r="D2" s="3" t="s">
        <v>48</v>
      </c>
      <c r="E2" s="3" t="s">
        <v>49</v>
      </c>
      <c r="F2" s="3" t="s">
        <v>50</v>
      </c>
      <c r="G2" s="3" t="s">
        <v>51</v>
      </c>
      <c r="H2" s="3" t="s">
        <v>52</v>
      </c>
      <c r="I2" s="3" t="s">
        <v>53</v>
      </c>
      <c r="J2" s="3" t="s">
        <v>54</v>
      </c>
      <c r="K2" s="3" t="s">
        <v>55</v>
      </c>
      <c r="L2" s="3" t="s">
        <v>56</v>
      </c>
      <c r="M2" s="3" t="s">
        <v>57</v>
      </c>
    </row>
    <row r="3" spans="1:13" x14ac:dyDescent="0.2">
      <c r="A3" s="24" t="s">
        <v>58</v>
      </c>
      <c r="B3" s="25" t="s">
        <v>59</v>
      </c>
      <c r="C3" s="25" t="s">
        <v>60</v>
      </c>
      <c r="D3" s="26">
        <v>20</v>
      </c>
      <c r="E3" s="26">
        <v>12.5</v>
      </c>
      <c r="F3" s="27">
        <f t="shared" ref="F3:F11" si="0">E3/D3</f>
        <v>0.625</v>
      </c>
      <c r="G3" s="13" t="str">
        <f t="shared" ref="G3:G11" si="1">IF(F3&lt;0.6,"Verde",IF(F3&lt;=0.8,"Amarillo","Rojo"))</f>
        <v>Amarillo</v>
      </c>
      <c r="H3" s="10">
        <v>24</v>
      </c>
      <c r="I3" s="10">
        <v>5</v>
      </c>
      <c r="J3" s="13">
        <f>I3*Parametros!$B$6</f>
        <v>45</v>
      </c>
      <c r="K3" s="13">
        <f>COUNTIFS(Clientes!$E:$E,A3)</f>
        <v>31</v>
      </c>
      <c r="L3" s="27">
        <f t="shared" ref="L3:L11" si="2">K3/J3</f>
        <v>0.68888888888888888</v>
      </c>
      <c r="M3" s="13" t="str">
        <f t="shared" ref="M3:M11" si="3">IF(L3&lt;0.6,"Verde",IF(L3&lt;=0.8,"Amarillo","Rojo"))</f>
        <v>Amarillo</v>
      </c>
    </row>
    <row r="4" spans="1:13" x14ac:dyDescent="0.2">
      <c r="A4" s="28" t="s">
        <v>61</v>
      </c>
      <c r="B4" s="29" t="s">
        <v>59</v>
      </c>
      <c r="C4" s="29" t="s">
        <v>62</v>
      </c>
      <c r="D4" s="30">
        <v>20</v>
      </c>
      <c r="E4" s="30">
        <v>16.8</v>
      </c>
      <c r="F4" s="31">
        <f t="shared" si="0"/>
        <v>0.84000000000000008</v>
      </c>
      <c r="G4" s="16" t="str">
        <f t="shared" si="1"/>
        <v>Rojo</v>
      </c>
      <c r="H4" s="8">
        <v>24</v>
      </c>
      <c r="I4" s="8">
        <v>4</v>
      </c>
      <c r="J4" s="16">
        <f>I4*Parametros!$B$6</f>
        <v>36</v>
      </c>
      <c r="K4" s="16">
        <f>COUNTIFS(Clientes!$E:$E,A4)</f>
        <v>31</v>
      </c>
      <c r="L4" s="31">
        <f t="shared" si="2"/>
        <v>0.86111111111111116</v>
      </c>
      <c r="M4" s="16" t="str">
        <f t="shared" si="3"/>
        <v>Rojo</v>
      </c>
    </row>
    <row r="5" spans="1:13" x14ac:dyDescent="0.2">
      <c r="A5" s="24" t="s">
        <v>63</v>
      </c>
      <c r="B5" s="25" t="s">
        <v>59</v>
      </c>
      <c r="C5" s="25" t="s">
        <v>64</v>
      </c>
      <c r="D5" s="26">
        <v>10</v>
      </c>
      <c r="E5" s="26">
        <v>5.2</v>
      </c>
      <c r="F5" s="27">
        <f t="shared" si="0"/>
        <v>0.52</v>
      </c>
      <c r="G5" s="13" t="str">
        <f t="shared" si="1"/>
        <v>Verde</v>
      </c>
      <c r="H5" s="10">
        <v>24</v>
      </c>
      <c r="I5" s="10">
        <v>3</v>
      </c>
      <c r="J5" s="13">
        <f>I5*Parametros!$B$6</f>
        <v>27</v>
      </c>
      <c r="K5" s="13">
        <f>COUNTIFS(Clientes!$E:$E,A5)</f>
        <v>14</v>
      </c>
      <c r="L5" s="27">
        <f t="shared" si="2"/>
        <v>0.51851851851851849</v>
      </c>
      <c r="M5" s="13" t="str">
        <f t="shared" si="3"/>
        <v>Verde</v>
      </c>
    </row>
    <row r="6" spans="1:13" x14ac:dyDescent="0.2">
      <c r="A6" s="28" t="s">
        <v>65</v>
      </c>
      <c r="B6" s="29" t="s">
        <v>59</v>
      </c>
      <c r="C6" s="29" t="s">
        <v>64</v>
      </c>
      <c r="D6" s="30">
        <v>10</v>
      </c>
      <c r="E6" s="30">
        <v>7.6</v>
      </c>
      <c r="F6" s="31">
        <f t="shared" si="0"/>
        <v>0.76</v>
      </c>
      <c r="G6" s="16" t="str">
        <f t="shared" si="1"/>
        <v>Amarillo</v>
      </c>
      <c r="H6" s="8">
        <v>24</v>
      </c>
      <c r="I6" s="8">
        <v>3</v>
      </c>
      <c r="J6" s="16">
        <f>I6*Parametros!$B$6</f>
        <v>27</v>
      </c>
      <c r="K6" s="16">
        <f>COUNTIFS(Clientes!$E:$E,A6)</f>
        <v>21</v>
      </c>
      <c r="L6" s="31">
        <f t="shared" si="2"/>
        <v>0.77777777777777779</v>
      </c>
      <c r="M6" s="16" t="str">
        <f t="shared" si="3"/>
        <v>Amarillo</v>
      </c>
    </row>
    <row r="7" spans="1:13" x14ac:dyDescent="0.2">
      <c r="A7" s="24" t="s">
        <v>66</v>
      </c>
      <c r="B7" s="25" t="s">
        <v>67</v>
      </c>
      <c r="C7" s="25" t="s">
        <v>68</v>
      </c>
      <c r="D7" s="26">
        <v>10</v>
      </c>
      <c r="E7" s="26">
        <v>4.0999999999999996</v>
      </c>
      <c r="F7" s="27">
        <f t="shared" si="0"/>
        <v>0.41</v>
      </c>
      <c r="G7" s="13" t="str">
        <f t="shared" si="1"/>
        <v>Verde</v>
      </c>
      <c r="H7" s="10">
        <v>24</v>
      </c>
      <c r="I7" s="10">
        <v>3</v>
      </c>
      <c r="J7" s="13">
        <f>I7*Parametros!$B$6</f>
        <v>27</v>
      </c>
      <c r="K7" s="13">
        <f>COUNTIFS(Clientes!$E:$E,A7)</f>
        <v>12</v>
      </c>
      <c r="L7" s="27">
        <f t="shared" si="2"/>
        <v>0.44444444444444442</v>
      </c>
      <c r="M7" s="13" t="str">
        <f t="shared" si="3"/>
        <v>Verde</v>
      </c>
    </row>
    <row r="8" spans="1:13" x14ac:dyDescent="0.2">
      <c r="A8" s="28" t="s">
        <v>69</v>
      </c>
      <c r="B8" s="29" t="s">
        <v>67</v>
      </c>
      <c r="C8" s="29" t="s">
        <v>68</v>
      </c>
      <c r="D8" s="30">
        <v>10</v>
      </c>
      <c r="E8" s="30">
        <v>6.8</v>
      </c>
      <c r="F8" s="31">
        <f t="shared" si="0"/>
        <v>0.67999999999999994</v>
      </c>
      <c r="G8" s="16" t="str">
        <f t="shared" si="1"/>
        <v>Amarillo</v>
      </c>
      <c r="H8" s="8">
        <v>24</v>
      </c>
      <c r="I8" s="8">
        <v>2</v>
      </c>
      <c r="J8" s="16">
        <f>I8*Parametros!$B$6</f>
        <v>18</v>
      </c>
      <c r="K8" s="16">
        <f>COUNTIFS(Clientes!$E:$E,A8)</f>
        <v>15</v>
      </c>
      <c r="L8" s="31">
        <f t="shared" si="2"/>
        <v>0.83333333333333337</v>
      </c>
      <c r="M8" s="16" t="str">
        <f t="shared" si="3"/>
        <v>Rojo</v>
      </c>
    </row>
    <row r="9" spans="1:13" x14ac:dyDescent="0.2">
      <c r="A9" s="24" t="s">
        <v>70</v>
      </c>
      <c r="B9" s="25" t="s">
        <v>71</v>
      </c>
      <c r="C9" s="25" t="s">
        <v>72</v>
      </c>
      <c r="D9" s="26">
        <v>10</v>
      </c>
      <c r="E9" s="26">
        <v>3.2</v>
      </c>
      <c r="F9" s="27">
        <f t="shared" si="0"/>
        <v>0.32</v>
      </c>
      <c r="G9" s="13" t="str">
        <f t="shared" si="1"/>
        <v>Verde</v>
      </c>
      <c r="H9" s="10">
        <v>24</v>
      </c>
      <c r="I9" s="10">
        <v>2</v>
      </c>
      <c r="J9" s="13">
        <f>I9*Parametros!$B$6</f>
        <v>18</v>
      </c>
      <c r="K9" s="13">
        <f>COUNTIFS(Clientes!$E:$E,A9)</f>
        <v>7</v>
      </c>
      <c r="L9" s="27">
        <f t="shared" si="2"/>
        <v>0.3888888888888889</v>
      </c>
      <c r="M9" s="13" t="str">
        <f t="shared" si="3"/>
        <v>Verde</v>
      </c>
    </row>
    <row r="10" spans="1:13" x14ac:dyDescent="0.2">
      <c r="A10" s="28" t="s">
        <v>73</v>
      </c>
      <c r="B10" s="29" t="s">
        <v>74</v>
      </c>
      <c r="C10" s="29" t="s">
        <v>68</v>
      </c>
      <c r="D10" s="30">
        <v>20</v>
      </c>
      <c r="E10" s="30">
        <v>13.5</v>
      </c>
      <c r="F10" s="31">
        <f t="shared" si="0"/>
        <v>0.67500000000000004</v>
      </c>
      <c r="G10" s="16" t="str">
        <f t="shared" si="1"/>
        <v>Amarillo</v>
      </c>
      <c r="H10" s="8">
        <v>24</v>
      </c>
      <c r="I10" s="8">
        <v>4</v>
      </c>
      <c r="J10" s="16">
        <f>I10*Parametros!$B$6</f>
        <v>36</v>
      </c>
      <c r="K10" s="16">
        <f>COUNTIFS(Clientes!$E:$E,A10)</f>
        <v>26</v>
      </c>
      <c r="L10" s="31">
        <f t="shared" si="2"/>
        <v>0.72222222222222221</v>
      </c>
      <c r="M10" s="16" t="str">
        <f t="shared" si="3"/>
        <v>Amarillo</v>
      </c>
    </row>
    <row r="11" spans="1:13" x14ac:dyDescent="0.2">
      <c r="A11" s="24" t="s">
        <v>75</v>
      </c>
      <c r="B11" s="25" t="s">
        <v>74</v>
      </c>
      <c r="C11" s="25" t="s">
        <v>72</v>
      </c>
      <c r="D11" s="26">
        <v>10</v>
      </c>
      <c r="E11" s="26">
        <v>8.9</v>
      </c>
      <c r="F11" s="27">
        <f t="shared" si="0"/>
        <v>0.89</v>
      </c>
      <c r="G11" s="13" t="str">
        <f t="shared" si="1"/>
        <v>Rojo</v>
      </c>
      <c r="H11" s="10">
        <v>24</v>
      </c>
      <c r="I11" s="10">
        <v>3</v>
      </c>
      <c r="J11" s="13">
        <f>I11*Parametros!$B$6</f>
        <v>27</v>
      </c>
      <c r="K11" s="13">
        <f>COUNTIFS(Clientes!$E:$E,A11)</f>
        <v>23</v>
      </c>
      <c r="L11" s="27">
        <f t="shared" si="2"/>
        <v>0.85185185185185186</v>
      </c>
      <c r="M11" s="13" t="str">
        <f t="shared" si="3"/>
        <v>Rojo</v>
      </c>
    </row>
  </sheetData>
  <mergeCells count="1">
    <mergeCell ref="A1:M1"/>
  </mergeCells>
  <conditionalFormatting sqref="F3:F11">
    <cfRule type="cellIs" dxfId="23" priority="8" operator="greaterThan">
      <formula>0.8</formula>
    </cfRule>
    <cfRule type="cellIs" dxfId="22" priority="9" operator="between">
      <formula>0.6</formula>
      <formula>0.8</formula>
    </cfRule>
    <cfRule type="cellIs" dxfId="21" priority="10" operator="lessThan">
      <formula>0.6</formula>
    </cfRule>
  </conditionalFormatting>
  <conditionalFormatting sqref="G3:G11">
    <cfRule type="cellIs" dxfId="20" priority="2" operator="equal">
      <formula>"Verde"</formula>
    </cfRule>
    <cfRule type="cellIs" dxfId="19" priority="3" operator="equal">
      <formula>"Amarillo"</formula>
    </cfRule>
    <cfRule type="cellIs" dxfId="18" priority="4" operator="equal">
      <formula>"Rojo"</formula>
    </cfRule>
  </conditionalFormatting>
  <conditionalFormatting sqref="L3:L11">
    <cfRule type="cellIs" dxfId="17" priority="11" operator="greaterThan">
      <formula>0.8</formula>
    </cfRule>
    <cfRule type="cellIs" dxfId="16" priority="12" operator="between">
      <formula>0.6</formula>
      <formula>0.8</formula>
    </cfRule>
    <cfRule type="cellIs" dxfId="15" priority="13" operator="lessThan">
      <formula>0.6</formula>
    </cfRule>
  </conditionalFormatting>
  <conditionalFormatting sqref="M3:M11">
    <cfRule type="cellIs" dxfId="14" priority="5" operator="equal">
      <formula>"Verde"</formula>
    </cfRule>
    <cfRule type="cellIs" dxfId="13" priority="6" operator="equal">
      <formula>"Amarillo"</formula>
    </cfRule>
    <cfRule type="cellIs" dxfId="12" priority="7" operator="equal">
      <formula>"Rojo"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31"/>
  <sheetViews>
    <sheetView zoomScaleNormal="100" workbookViewId="0">
      <selection sqref="A1:I1"/>
    </sheetView>
  </sheetViews>
  <sheetFormatPr baseColWidth="10" defaultColWidth="8.6640625" defaultRowHeight="15" x14ac:dyDescent="0.2"/>
  <cols>
    <col min="1" max="1" width="16" customWidth="1"/>
    <col min="2" max="2" width="13" customWidth="1"/>
    <col min="3" max="3" width="10" customWidth="1"/>
    <col min="4" max="4" width="34" customWidth="1"/>
    <col min="5" max="5" width="9" customWidth="1"/>
    <col min="6" max="6" width="12" customWidth="1"/>
    <col min="7" max="7" width="18" customWidth="1"/>
    <col min="8" max="8" width="12" customWidth="1"/>
    <col min="9" max="9" width="10" customWidth="1"/>
  </cols>
  <sheetData>
    <row r="1" spans="1:9" ht="24" customHeight="1" x14ac:dyDescent="0.2">
      <c r="A1" s="2" t="s">
        <v>76</v>
      </c>
      <c r="B1" s="2"/>
      <c r="C1" s="2"/>
      <c r="D1" s="2"/>
      <c r="E1" s="2"/>
      <c r="F1" s="2"/>
      <c r="G1" s="2"/>
      <c r="H1" s="2"/>
      <c r="I1" s="2"/>
    </row>
    <row r="2" spans="1:9" ht="30" x14ac:dyDescent="0.2">
      <c r="A2" s="3" t="s">
        <v>77</v>
      </c>
      <c r="B2" s="3" t="s">
        <v>78</v>
      </c>
      <c r="C2" s="3" t="s">
        <v>46</v>
      </c>
      <c r="D2" s="3" t="s">
        <v>79</v>
      </c>
      <c r="E2" s="3" t="s">
        <v>80</v>
      </c>
      <c r="F2" s="3" t="s">
        <v>54</v>
      </c>
      <c r="G2" s="3" t="s">
        <v>81</v>
      </c>
      <c r="H2" s="3" t="s">
        <v>82</v>
      </c>
      <c r="I2" s="3" t="s">
        <v>83</v>
      </c>
    </row>
    <row r="3" spans="1:9" ht="30" x14ac:dyDescent="0.2">
      <c r="A3" s="24" t="s">
        <v>84</v>
      </c>
      <c r="B3" s="25" t="s">
        <v>58</v>
      </c>
      <c r="C3" s="25" t="s">
        <v>59</v>
      </c>
      <c r="D3" s="25" t="s">
        <v>85</v>
      </c>
      <c r="E3" s="13" t="s">
        <v>86</v>
      </c>
      <c r="F3" s="10">
        <v>9</v>
      </c>
      <c r="G3" s="13">
        <f>COUNTIFS(Clientes!$F:$F,A3)</f>
        <v>9</v>
      </c>
      <c r="H3" s="27">
        <f t="shared" ref="H3:H31" si="0">G3/F3</f>
        <v>1</v>
      </c>
      <c r="I3" s="13" t="str">
        <f t="shared" ref="I3:I31" si="1">IF(H3&lt;0.6,"Verde",IF(H3&lt;=0.8,"Amarillo","Rojo"))</f>
        <v>Rojo</v>
      </c>
    </row>
    <row r="4" spans="1:9" ht="30" x14ac:dyDescent="0.2">
      <c r="A4" s="28" t="s">
        <v>87</v>
      </c>
      <c r="B4" s="29" t="s">
        <v>58</v>
      </c>
      <c r="C4" s="29" t="s">
        <v>59</v>
      </c>
      <c r="D4" s="29" t="s">
        <v>85</v>
      </c>
      <c r="E4" s="16" t="s">
        <v>88</v>
      </c>
      <c r="F4" s="8">
        <v>9</v>
      </c>
      <c r="G4" s="16">
        <f>COUNTIFS(Clientes!$F:$F,A4)</f>
        <v>8</v>
      </c>
      <c r="H4" s="31">
        <f t="shared" si="0"/>
        <v>0.88888888888888884</v>
      </c>
      <c r="I4" s="16" t="str">
        <f t="shared" si="1"/>
        <v>Rojo</v>
      </c>
    </row>
    <row r="5" spans="1:9" ht="30" x14ac:dyDescent="0.2">
      <c r="A5" s="24" t="s">
        <v>89</v>
      </c>
      <c r="B5" s="25" t="s">
        <v>58</v>
      </c>
      <c r="C5" s="25" t="s">
        <v>59</v>
      </c>
      <c r="D5" s="25" t="s">
        <v>85</v>
      </c>
      <c r="E5" s="13" t="s">
        <v>90</v>
      </c>
      <c r="F5" s="10">
        <v>9</v>
      </c>
      <c r="G5" s="13">
        <f>COUNTIFS(Clientes!$F:$F,A5)</f>
        <v>7</v>
      </c>
      <c r="H5" s="27">
        <f t="shared" si="0"/>
        <v>0.77777777777777779</v>
      </c>
      <c r="I5" s="13" t="str">
        <f t="shared" si="1"/>
        <v>Amarillo</v>
      </c>
    </row>
    <row r="6" spans="1:9" ht="30" x14ac:dyDescent="0.2">
      <c r="A6" s="28" t="s">
        <v>91</v>
      </c>
      <c r="B6" s="29" t="s">
        <v>58</v>
      </c>
      <c r="C6" s="29" t="s">
        <v>59</v>
      </c>
      <c r="D6" s="29" t="s">
        <v>85</v>
      </c>
      <c r="E6" s="16" t="s">
        <v>92</v>
      </c>
      <c r="F6" s="8">
        <v>9</v>
      </c>
      <c r="G6" s="16">
        <f>COUNTIFS(Clientes!$F:$F,A6)</f>
        <v>5</v>
      </c>
      <c r="H6" s="31">
        <f t="shared" si="0"/>
        <v>0.55555555555555558</v>
      </c>
      <c r="I6" s="16" t="str">
        <f t="shared" si="1"/>
        <v>Verde</v>
      </c>
    </row>
    <row r="7" spans="1:9" ht="30" x14ac:dyDescent="0.2">
      <c r="A7" s="24" t="s">
        <v>93</v>
      </c>
      <c r="B7" s="25" t="s">
        <v>58</v>
      </c>
      <c r="C7" s="25" t="s">
        <v>59</v>
      </c>
      <c r="D7" s="25" t="s">
        <v>85</v>
      </c>
      <c r="E7" s="13" t="s">
        <v>94</v>
      </c>
      <c r="F7" s="10">
        <v>9</v>
      </c>
      <c r="G7" s="13">
        <f>COUNTIFS(Clientes!$F:$F,A7)</f>
        <v>2</v>
      </c>
      <c r="H7" s="27">
        <f t="shared" si="0"/>
        <v>0.22222222222222221</v>
      </c>
      <c r="I7" s="13" t="str">
        <f t="shared" si="1"/>
        <v>Verde</v>
      </c>
    </row>
    <row r="8" spans="1:9" ht="30" x14ac:dyDescent="0.2">
      <c r="A8" s="28" t="s">
        <v>95</v>
      </c>
      <c r="B8" s="29" t="s">
        <v>61</v>
      </c>
      <c r="C8" s="29" t="s">
        <v>59</v>
      </c>
      <c r="D8" s="29" t="s">
        <v>85</v>
      </c>
      <c r="E8" s="16" t="s">
        <v>86</v>
      </c>
      <c r="F8" s="8">
        <v>9</v>
      </c>
      <c r="G8" s="16">
        <f>COUNTIFS(Clientes!$F:$F,A8)</f>
        <v>9</v>
      </c>
      <c r="H8" s="31">
        <f t="shared" si="0"/>
        <v>1</v>
      </c>
      <c r="I8" s="16" t="str">
        <f t="shared" si="1"/>
        <v>Rojo</v>
      </c>
    </row>
    <row r="9" spans="1:9" ht="30" x14ac:dyDescent="0.2">
      <c r="A9" s="24" t="s">
        <v>96</v>
      </c>
      <c r="B9" s="25" t="s">
        <v>61</v>
      </c>
      <c r="C9" s="25" t="s">
        <v>59</v>
      </c>
      <c r="D9" s="25" t="s">
        <v>85</v>
      </c>
      <c r="E9" s="13" t="s">
        <v>88</v>
      </c>
      <c r="F9" s="10">
        <v>9</v>
      </c>
      <c r="G9" s="13">
        <f>COUNTIFS(Clientes!$F:$F,A9)</f>
        <v>9</v>
      </c>
      <c r="H9" s="27">
        <f t="shared" si="0"/>
        <v>1</v>
      </c>
      <c r="I9" s="13" t="str">
        <f t="shared" si="1"/>
        <v>Rojo</v>
      </c>
    </row>
    <row r="10" spans="1:9" ht="30" x14ac:dyDescent="0.2">
      <c r="A10" s="28" t="s">
        <v>97</v>
      </c>
      <c r="B10" s="29" t="s">
        <v>61</v>
      </c>
      <c r="C10" s="29" t="s">
        <v>59</v>
      </c>
      <c r="D10" s="29" t="s">
        <v>85</v>
      </c>
      <c r="E10" s="16" t="s">
        <v>90</v>
      </c>
      <c r="F10" s="8">
        <v>9</v>
      </c>
      <c r="G10" s="16">
        <f>COUNTIFS(Clientes!$F:$F,A10)</f>
        <v>8</v>
      </c>
      <c r="H10" s="31">
        <f t="shared" si="0"/>
        <v>0.88888888888888884</v>
      </c>
      <c r="I10" s="16" t="str">
        <f t="shared" si="1"/>
        <v>Rojo</v>
      </c>
    </row>
    <row r="11" spans="1:9" ht="30" x14ac:dyDescent="0.2">
      <c r="A11" s="24" t="s">
        <v>98</v>
      </c>
      <c r="B11" s="25" t="s">
        <v>61</v>
      </c>
      <c r="C11" s="25" t="s">
        <v>59</v>
      </c>
      <c r="D11" s="25" t="s">
        <v>85</v>
      </c>
      <c r="E11" s="13" t="s">
        <v>92</v>
      </c>
      <c r="F11" s="10">
        <v>9</v>
      </c>
      <c r="G11" s="13">
        <f>COUNTIFS(Clientes!$F:$F,A11)</f>
        <v>5</v>
      </c>
      <c r="H11" s="27">
        <f t="shared" si="0"/>
        <v>0.55555555555555558</v>
      </c>
      <c r="I11" s="13" t="str">
        <f t="shared" si="1"/>
        <v>Verde</v>
      </c>
    </row>
    <row r="12" spans="1:9" ht="30" x14ac:dyDescent="0.2">
      <c r="A12" s="28" t="s">
        <v>99</v>
      </c>
      <c r="B12" s="29" t="s">
        <v>63</v>
      </c>
      <c r="C12" s="29" t="s">
        <v>59</v>
      </c>
      <c r="D12" s="29" t="s">
        <v>85</v>
      </c>
      <c r="E12" s="16" t="s">
        <v>86</v>
      </c>
      <c r="F12" s="8">
        <v>9</v>
      </c>
      <c r="G12" s="16">
        <f>COUNTIFS(Clientes!$F:$F,A12)</f>
        <v>6</v>
      </c>
      <c r="H12" s="31">
        <f t="shared" si="0"/>
        <v>0.66666666666666663</v>
      </c>
      <c r="I12" s="16" t="str">
        <f t="shared" si="1"/>
        <v>Amarillo</v>
      </c>
    </row>
    <row r="13" spans="1:9" ht="30" x14ac:dyDescent="0.2">
      <c r="A13" s="24" t="s">
        <v>100</v>
      </c>
      <c r="B13" s="25" t="s">
        <v>63</v>
      </c>
      <c r="C13" s="25" t="s">
        <v>59</v>
      </c>
      <c r="D13" s="25" t="s">
        <v>85</v>
      </c>
      <c r="E13" s="13" t="s">
        <v>88</v>
      </c>
      <c r="F13" s="10">
        <v>9</v>
      </c>
      <c r="G13" s="13">
        <f>COUNTIFS(Clientes!$F:$F,A13)</f>
        <v>5</v>
      </c>
      <c r="H13" s="27">
        <f t="shared" si="0"/>
        <v>0.55555555555555558</v>
      </c>
      <c r="I13" s="13" t="str">
        <f t="shared" si="1"/>
        <v>Verde</v>
      </c>
    </row>
    <row r="14" spans="1:9" ht="30" x14ac:dyDescent="0.2">
      <c r="A14" s="28" t="s">
        <v>101</v>
      </c>
      <c r="B14" s="29" t="s">
        <v>63</v>
      </c>
      <c r="C14" s="29" t="s">
        <v>59</v>
      </c>
      <c r="D14" s="29" t="s">
        <v>85</v>
      </c>
      <c r="E14" s="16" t="s">
        <v>90</v>
      </c>
      <c r="F14" s="8">
        <v>9</v>
      </c>
      <c r="G14" s="16">
        <f>COUNTIFS(Clientes!$F:$F,A14)</f>
        <v>3</v>
      </c>
      <c r="H14" s="31">
        <f t="shared" si="0"/>
        <v>0.33333333333333331</v>
      </c>
      <c r="I14" s="16" t="str">
        <f t="shared" si="1"/>
        <v>Verde</v>
      </c>
    </row>
    <row r="15" spans="1:9" ht="30" x14ac:dyDescent="0.2">
      <c r="A15" s="24" t="s">
        <v>102</v>
      </c>
      <c r="B15" s="25" t="s">
        <v>65</v>
      </c>
      <c r="C15" s="25" t="s">
        <v>59</v>
      </c>
      <c r="D15" s="25" t="s">
        <v>85</v>
      </c>
      <c r="E15" s="13" t="s">
        <v>86</v>
      </c>
      <c r="F15" s="10">
        <v>9</v>
      </c>
      <c r="G15" s="13">
        <f>COUNTIFS(Clientes!$F:$F,A15)</f>
        <v>9</v>
      </c>
      <c r="H15" s="27">
        <f t="shared" si="0"/>
        <v>1</v>
      </c>
      <c r="I15" s="13" t="str">
        <f t="shared" si="1"/>
        <v>Rojo</v>
      </c>
    </row>
    <row r="16" spans="1:9" ht="30" x14ac:dyDescent="0.2">
      <c r="A16" s="28" t="s">
        <v>103</v>
      </c>
      <c r="B16" s="29" t="s">
        <v>65</v>
      </c>
      <c r="C16" s="29" t="s">
        <v>59</v>
      </c>
      <c r="D16" s="29" t="s">
        <v>85</v>
      </c>
      <c r="E16" s="16" t="s">
        <v>88</v>
      </c>
      <c r="F16" s="8">
        <v>9</v>
      </c>
      <c r="G16" s="16">
        <f>COUNTIFS(Clientes!$F:$F,A16)</f>
        <v>7</v>
      </c>
      <c r="H16" s="31">
        <f t="shared" si="0"/>
        <v>0.77777777777777779</v>
      </c>
      <c r="I16" s="16" t="str">
        <f t="shared" si="1"/>
        <v>Amarillo</v>
      </c>
    </row>
    <row r="17" spans="1:9" ht="30" x14ac:dyDescent="0.2">
      <c r="A17" s="24" t="s">
        <v>104</v>
      </c>
      <c r="B17" s="25" t="s">
        <v>65</v>
      </c>
      <c r="C17" s="25" t="s">
        <v>59</v>
      </c>
      <c r="D17" s="25" t="s">
        <v>85</v>
      </c>
      <c r="E17" s="13" t="s">
        <v>90</v>
      </c>
      <c r="F17" s="10">
        <v>9</v>
      </c>
      <c r="G17" s="13">
        <f>COUNTIFS(Clientes!$F:$F,A17)</f>
        <v>5</v>
      </c>
      <c r="H17" s="27">
        <f t="shared" si="0"/>
        <v>0.55555555555555558</v>
      </c>
      <c r="I17" s="13" t="str">
        <f t="shared" si="1"/>
        <v>Verde</v>
      </c>
    </row>
    <row r="18" spans="1:9" ht="30" x14ac:dyDescent="0.2">
      <c r="A18" s="28" t="s">
        <v>105</v>
      </c>
      <c r="B18" s="29" t="s">
        <v>66</v>
      </c>
      <c r="C18" s="29" t="s">
        <v>67</v>
      </c>
      <c r="D18" s="29" t="s">
        <v>85</v>
      </c>
      <c r="E18" s="16" t="s">
        <v>86</v>
      </c>
      <c r="F18" s="8">
        <v>9</v>
      </c>
      <c r="G18" s="16">
        <f>COUNTIFS(Clientes!$F:$F,A18)</f>
        <v>5</v>
      </c>
      <c r="H18" s="31">
        <f t="shared" si="0"/>
        <v>0.55555555555555558</v>
      </c>
      <c r="I18" s="16" t="str">
        <f t="shared" si="1"/>
        <v>Verde</v>
      </c>
    </row>
    <row r="19" spans="1:9" ht="30" x14ac:dyDescent="0.2">
      <c r="A19" s="24" t="s">
        <v>106</v>
      </c>
      <c r="B19" s="25" t="s">
        <v>66</v>
      </c>
      <c r="C19" s="25" t="s">
        <v>67</v>
      </c>
      <c r="D19" s="25" t="s">
        <v>85</v>
      </c>
      <c r="E19" s="13" t="s">
        <v>88</v>
      </c>
      <c r="F19" s="10">
        <v>9</v>
      </c>
      <c r="G19" s="13">
        <f>COUNTIFS(Clientes!$F:$F,A19)</f>
        <v>4</v>
      </c>
      <c r="H19" s="27">
        <f t="shared" si="0"/>
        <v>0.44444444444444442</v>
      </c>
      <c r="I19" s="13" t="str">
        <f t="shared" si="1"/>
        <v>Verde</v>
      </c>
    </row>
    <row r="20" spans="1:9" ht="30" x14ac:dyDescent="0.2">
      <c r="A20" s="28" t="s">
        <v>107</v>
      </c>
      <c r="B20" s="29" t="s">
        <v>66</v>
      </c>
      <c r="C20" s="29" t="s">
        <v>67</v>
      </c>
      <c r="D20" s="29" t="s">
        <v>85</v>
      </c>
      <c r="E20" s="16" t="s">
        <v>90</v>
      </c>
      <c r="F20" s="8">
        <v>9</v>
      </c>
      <c r="G20" s="16">
        <f>COUNTIFS(Clientes!$F:$F,A20)</f>
        <v>3</v>
      </c>
      <c r="H20" s="31">
        <f t="shared" si="0"/>
        <v>0.33333333333333331</v>
      </c>
      <c r="I20" s="16" t="str">
        <f t="shared" si="1"/>
        <v>Verde</v>
      </c>
    </row>
    <row r="21" spans="1:9" ht="30" x14ac:dyDescent="0.2">
      <c r="A21" s="24" t="s">
        <v>108</v>
      </c>
      <c r="B21" s="25" t="s">
        <v>69</v>
      </c>
      <c r="C21" s="25" t="s">
        <v>67</v>
      </c>
      <c r="D21" s="25" t="s">
        <v>85</v>
      </c>
      <c r="E21" s="13" t="s">
        <v>86</v>
      </c>
      <c r="F21" s="10">
        <v>9</v>
      </c>
      <c r="G21" s="13">
        <f>COUNTIFS(Clientes!$F:$F,A21)</f>
        <v>9</v>
      </c>
      <c r="H21" s="27">
        <f t="shared" si="0"/>
        <v>1</v>
      </c>
      <c r="I21" s="13" t="str">
        <f t="shared" si="1"/>
        <v>Rojo</v>
      </c>
    </row>
    <row r="22" spans="1:9" ht="30" x14ac:dyDescent="0.2">
      <c r="A22" s="28" t="s">
        <v>109</v>
      </c>
      <c r="B22" s="29" t="s">
        <v>69</v>
      </c>
      <c r="C22" s="29" t="s">
        <v>67</v>
      </c>
      <c r="D22" s="29" t="s">
        <v>85</v>
      </c>
      <c r="E22" s="16" t="s">
        <v>88</v>
      </c>
      <c r="F22" s="8">
        <v>9</v>
      </c>
      <c r="G22" s="16">
        <f>COUNTIFS(Clientes!$F:$F,A22)</f>
        <v>6</v>
      </c>
      <c r="H22" s="31">
        <f t="shared" si="0"/>
        <v>0.66666666666666663</v>
      </c>
      <c r="I22" s="16" t="str">
        <f t="shared" si="1"/>
        <v>Amarillo</v>
      </c>
    </row>
    <row r="23" spans="1:9" ht="30" x14ac:dyDescent="0.2">
      <c r="A23" s="24" t="s">
        <v>110</v>
      </c>
      <c r="B23" s="25" t="s">
        <v>70</v>
      </c>
      <c r="C23" s="25" t="s">
        <v>71</v>
      </c>
      <c r="D23" s="25" t="s">
        <v>85</v>
      </c>
      <c r="E23" s="13" t="s">
        <v>86</v>
      </c>
      <c r="F23" s="10">
        <v>9</v>
      </c>
      <c r="G23" s="13">
        <f>COUNTIFS(Clientes!$F:$F,A23)</f>
        <v>4</v>
      </c>
      <c r="H23" s="27">
        <f t="shared" si="0"/>
        <v>0.44444444444444442</v>
      </c>
      <c r="I23" s="13" t="str">
        <f t="shared" si="1"/>
        <v>Verde</v>
      </c>
    </row>
    <row r="24" spans="1:9" ht="30" x14ac:dyDescent="0.2">
      <c r="A24" s="28" t="s">
        <v>111</v>
      </c>
      <c r="B24" s="29" t="s">
        <v>70</v>
      </c>
      <c r="C24" s="29" t="s">
        <v>71</v>
      </c>
      <c r="D24" s="29" t="s">
        <v>85</v>
      </c>
      <c r="E24" s="16" t="s">
        <v>88</v>
      </c>
      <c r="F24" s="8">
        <v>9</v>
      </c>
      <c r="G24" s="16">
        <f>COUNTIFS(Clientes!$F:$F,A24)</f>
        <v>3</v>
      </c>
      <c r="H24" s="31">
        <f t="shared" si="0"/>
        <v>0.33333333333333331</v>
      </c>
      <c r="I24" s="16" t="str">
        <f t="shared" si="1"/>
        <v>Verde</v>
      </c>
    </row>
    <row r="25" spans="1:9" ht="30" x14ac:dyDescent="0.2">
      <c r="A25" s="24" t="s">
        <v>112</v>
      </c>
      <c r="B25" s="25" t="s">
        <v>73</v>
      </c>
      <c r="C25" s="25" t="s">
        <v>74</v>
      </c>
      <c r="D25" s="25" t="s">
        <v>85</v>
      </c>
      <c r="E25" s="13" t="s">
        <v>86</v>
      </c>
      <c r="F25" s="10">
        <v>9</v>
      </c>
      <c r="G25" s="13">
        <f>COUNTIFS(Clientes!$F:$F,A25)</f>
        <v>8</v>
      </c>
      <c r="H25" s="27">
        <f t="shared" si="0"/>
        <v>0.88888888888888884</v>
      </c>
      <c r="I25" s="13" t="str">
        <f t="shared" si="1"/>
        <v>Rojo</v>
      </c>
    </row>
    <row r="26" spans="1:9" ht="30" x14ac:dyDescent="0.2">
      <c r="A26" s="28" t="s">
        <v>113</v>
      </c>
      <c r="B26" s="29" t="s">
        <v>73</v>
      </c>
      <c r="C26" s="29" t="s">
        <v>74</v>
      </c>
      <c r="D26" s="29" t="s">
        <v>85</v>
      </c>
      <c r="E26" s="16" t="s">
        <v>88</v>
      </c>
      <c r="F26" s="8">
        <v>9</v>
      </c>
      <c r="G26" s="16">
        <f>COUNTIFS(Clientes!$F:$F,A26)</f>
        <v>7</v>
      </c>
      <c r="H26" s="31">
        <f t="shared" si="0"/>
        <v>0.77777777777777779</v>
      </c>
      <c r="I26" s="16" t="str">
        <f t="shared" si="1"/>
        <v>Amarillo</v>
      </c>
    </row>
    <row r="27" spans="1:9" ht="30" x14ac:dyDescent="0.2">
      <c r="A27" s="24" t="s">
        <v>114</v>
      </c>
      <c r="B27" s="25" t="s">
        <v>73</v>
      </c>
      <c r="C27" s="25" t="s">
        <v>74</v>
      </c>
      <c r="D27" s="25" t="s">
        <v>85</v>
      </c>
      <c r="E27" s="13" t="s">
        <v>90</v>
      </c>
      <c r="F27" s="10">
        <v>9</v>
      </c>
      <c r="G27" s="13">
        <f>COUNTIFS(Clientes!$F:$F,A27)</f>
        <v>6</v>
      </c>
      <c r="H27" s="27">
        <f t="shared" si="0"/>
        <v>0.66666666666666663</v>
      </c>
      <c r="I27" s="13" t="str">
        <f t="shared" si="1"/>
        <v>Amarillo</v>
      </c>
    </row>
    <row r="28" spans="1:9" ht="30" x14ac:dyDescent="0.2">
      <c r="A28" s="28" t="s">
        <v>115</v>
      </c>
      <c r="B28" s="29" t="s">
        <v>73</v>
      </c>
      <c r="C28" s="29" t="s">
        <v>74</v>
      </c>
      <c r="D28" s="29" t="s">
        <v>85</v>
      </c>
      <c r="E28" s="16" t="s">
        <v>92</v>
      </c>
      <c r="F28" s="8">
        <v>9</v>
      </c>
      <c r="G28" s="16">
        <f>COUNTIFS(Clientes!$F:$F,A28)</f>
        <v>5</v>
      </c>
      <c r="H28" s="31">
        <f t="shared" si="0"/>
        <v>0.55555555555555558</v>
      </c>
      <c r="I28" s="16" t="str">
        <f t="shared" si="1"/>
        <v>Verde</v>
      </c>
    </row>
    <row r="29" spans="1:9" ht="30" x14ac:dyDescent="0.2">
      <c r="A29" s="24" t="s">
        <v>116</v>
      </c>
      <c r="B29" s="25" t="s">
        <v>75</v>
      </c>
      <c r="C29" s="25" t="s">
        <v>74</v>
      </c>
      <c r="D29" s="25" t="s">
        <v>85</v>
      </c>
      <c r="E29" s="13" t="s">
        <v>86</v>
      </c>
      <c r="F29" s="10">
        <v>9</v>
      </c>
      <c r="G29" s="13">
        <f>COUNTIFS(Clientes!$F:$F,A29)</f>
        <v>9</v>
      </c>
      <c r="H29" s="27">
        <f t="shared" si="0"/>
        <v>1</v>
      </c>
      <c r="I29" s="13" t="str">
        <f t="shared" si="1"/>
        <v>Rojo</v>
      </c>
    </row>
    <row r="30" spans="1:9" ht="30" x14ac:dyDescent="0.2">
      <c r="A30" s="28" t="s">
        <v>117</v>
      </c>
      <c r="B30" s="29" t="s">
        <v>75</v>
      </c>
      <c r="C30" s="29" t="s">
        <v>74</v>
      </c>
      <c r="D30" s="29" t="s">
        <v>85</v>
      </c>
      <c r="E30" s="16" t="s">
        <v>88</v>
      </c>
      <c r="F30" s="8">
        <v>9</v>
      </c>
      <c r="G30" s="16">
        <f>COUNTIFS(Clientes!$F:$F,A30)</f>
        <v>8</v>
      </c>
      <c r="H30" s="31">
        <f t="shared" si="0"/>
        <v>0.88888888888888884</v>
      </c>
      <c r="I30" s="16" t="str">
        <f t="shared" si="1"/>
        <v>Rojo</v>
      </c>
    </row>
    <row r="31" spans="1:9" ht="30" x14ac:dyDescent="0.2">
      <c r="A31" s="24" t="s">
        <v>118</v>
      </c>
      <c r="B31" s="25" t="s">
        <v>75</v>
      </c>
      <c r="C31" s="25" t="s">
        <v>74</v>
      </c>
      <c r="D31" s="25" t="s">
        <v>85</v>
      </c>
      <c r="E31" s="13" t="s">
        <v>90</v>
      </c>
      <c r="F31" s="10">
        <v>9</v>
      </c>
      <c r="G31" s="13">
        <f>COUNTIFS(Clientes!$F:$F,A31)</f>
        <v>6</v>
      </c>
      <c r="H31" s="27">
        <f t="shared" si="0"/>
        <v>0.66666666666666663</v>
      </c>
      <c r="I31" s="13" t="str">
        <f t="shared" si="1"/>
        <v>Amarillo</v>
      </c>
    </row>
  </sheetData>
  <mergeCells count="1">
    <mergeCell ref="A1:I1"/>
  </mergeCells>
  <conditionalFormatting sqref="H3:H31">
    <cfRule type="cellIs" dxfId="11" priority="5" operator="greaterThan">
      <formula>0.8</formula>
    </cfRule>
    <cfRule type="cellIs" dxfId="10" priority="6" operator="between">
      <formula>0.6</formula>
      <formula>0.8</formula>
    </cfRule>
    <cfRule type="cellIs" dxfId="9" priority="7" operator="lessThan">
      <formula>0.6</formula>
    </cfRule>
  </conditionalFormatting>
  <conditionalFormatting sqref="I3:I31">
    <cfRule type="cellIs" dxfId="8" priority="2" operator="equal">
      <formula>"Verde"</formula>
    </cfRule>
    <cfRule type="cellIs" dxfId="7" priority="3" operator="equal">
      <formula>"Amarillo"</formula>
    </cfRule>
    <cfRule type="cellIs" dxfId="6" priority="4" operator="equal">
      <formula>"Rojo"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6"/>
  <sheetViews>
    <sheetView zoomScaleNormal="100" workbookViewId="0">
      <selection sqref="A1:H1"/>
    </sheetView>
  </sheetViews>
  <sheetFormatPr baseColWidth="10" defaultColWidth="8.6640625" defaultRowHeight="15" x14ac:dyDescent="0.2"/>
  <cols>
    <col min="1" max="1" width="10" customWidth="1"/>
    <col min="2" max="2" width="9" customWidth="1"/>
    <col min="3" max="3" width="12" customWidth="1"/>
    <col min="4" max="4" width="14" customWidth="1"/>
    <col min="5" max="6" width="16" customWidth="1"/>
    <col min="7" max="7" width="14" customWidth="1"/>
    <col min="8" max="8" width="13" customWidth="1"/>
  </cols>
  <sheetData>
    <row r="1" spans="1:8" ht="24" customHeight="1" x14ac:dyDescent="0.2">
      <c r="A1" s="2" t="s">
        <v>119</v>
      </c>
      <c r="B1" s="2"/>
      <c r="C1" s="2"/>
      <c r="D1" s="2"/>
      <c r="E1" s="2"/>
      <c r="F1" s="2"/>
      <c r="G1" s="2"/>
      <c r="H1" s="2"/>
    </row>
    <row r="2" spans="1:8" ht="30" x14ac:dyDescent="0.2">
      <c r="A2" s="3" t="s">
        <v>120</v>
      </c>
      <c r="B2" s="3" t="s">
        <v>121</v>
      </c>
      <c r="C2" s="3" t="s">
        <v>122</v>
      </c>
      <c r="D2" s="3" t="s">
        <v>46</v>
      </c>
      <c r="E2" s="3" t="s">
        <v>123</v>
      </c>
      <c r="F2" s="3" t="s">
        <v>124</v>
      </c>
      <c r="G2" s="3" t="s">
        <v>125</v>
      </c>
      <c r="H2" s="3" t="s">
        <v>126</v>
      </c>
    </row>
    <row r="3" spans="1:8" x14ac:dyDescent="0.2">
      <c r="A3" s="32">
        <v>1</v>
      </c>
      <c r="B3" s="25" t="s">
        <v>58</v>
      </c>
      <c r="C3" s="25" t="s">
        <v>127</v>
      </c>
      <c r="D3" s="25" t="s">
        <v>59</v>
      </c>
      <c r="E3" s="25" t="s">
        <v>128</v>
      </c>
      <c r="F3" s="26">
        <v>20</v>
      </c>
      <c r="G3" s="26">
        <v>12.8</v>
      </c>
      <c r="H3" s="27">
        <f t="shared" ref="H3:H16" si="0">G3/F3</f>
        <v>0.64</v>
      </c>
    </row>
    <row r="4" spans="1:8" x14ac:dyDescent="0.2">
      <c r="A4" s="33">
        <v>2</v>
      </c>
      <c r="B4" s="29" t="s">
        <v>58</v>
      </c>
      <c r="C4" s="29" t="s">
        <v>129</v>
      </c>
      <c r="D4" s="29" t="s">
        <v>59</v>
      </c>
      <c r="E4" s="29" t="s">
        <v>128</v>
      </c>
      <c r="F4" s="30">
        <v>10</v>
      </c>
      <c r="G4" s="30">
        <v>6.4</v>
      </c>
      <c r="H4" s="31">
        <f t="shared" si="0"/>
        <v>0.64</v>
      </c>
    </row>
    <row r="5" spans="1:8" x14ac:dyDescent="0.2">
      <c r="A5" s="32">
        <v>3</v>
      </c>
      <c r="B5" s="25" t="s">
        <v>127</v>
      </c>
      <c r="C5" s="25" t="s">
        <v>61</v>
      </c>
      <c r="D5" s="25" t="s">
        <v>59</v>
      </c>
      <c r="E5" s="25" t="s">
        <v>128</v>
      </c>
      <c r="F5" s="26">
        <v>20</v>
      </c>
      <c r="G5" s="26">
        <v>16.2</v>
      </c>
      <c r="H5" s="27">
        <f t="shared" si="0"/>
        <v>0.80999999999999994</v>
      </c>
    </row>
    <row r="6" spans="1:8" ht="30" x14ac:dyDescent="0.2">
      <c r="A6" s="33">
        <v>4</v>
      </c>
      <c r="B6" s="29" t="s">
        <v>127</v>
      </c>
      <c r="C6" s="29" t="s">
        <v>63</v>
      </c>
      <c r="D6" s="29" t="s">
        <v>59</v>
      </c>
      <c r="E6" s="29" t="s">
        <v>128</v>
      </c>
      <c r="F6" s="30">
        <v>10</v>
      </c>
      <c r="G6" s="30">
        <v>5.0999999999999996</v>
      </c>
      <c r="H6" s="31">
        <f t="shared" si="0"/>
        <v>0.51</v>
      </c>
    </row>
    <row r="7" spans="1:8" x14ac:dyDescent="0.2">
      <c r="A7" s="32">
        <v>5</v>
      </c>
      <c r="B7" s="25" t="s">
        <v>61</v>
      </c>
      <c r="C7" s="25" t="s">
        <v>129</v>
      </c>
      <c r="D7" s="25" t="s">
        <v>59</v>
      </c>
      <c r="E7" s="25" t="s">
        <v>128</v>
      </c>
      <c r="F7" s="26">
        <v>10</v>
      </c>
      <c r="G7" s="26">
        <v>7.3</v>
      </c>
      <c r="H7" s="27">
        <f t="shared" si="0"/>
        <v>0.73</v>
      </c>
    </row>
    <row r="8" spans="1:8" ht="30" x14ac:dyDescent="0.2">
      <c r="A8" s="33">
        <v>6</v>
      </c>
      <c r="B8" s="29" t="s">
        <v>61</v>
      </c>
      <c r="C8" s="29" t="s">
        <v>65</v>
      </c>
      <c r="D8" s="29" t="s">
        <v>59</v>
      </c>
      <c r="E8" s="29" t="s">
        <v>128</v>
      </c>
      <c r="F8" s="30">
        <v>10</v>
      </c>
      <c r="G8" s="30">
        <v>7.9</v>
      </c>
      <c r="H8" s="31">
        <f t="shared" si="0"/>
        <v>0.79</v>
      </c>
    </row>
    <row r="9" spans="1:8" x14ac:dyDescent="0.2">
      <c r="A9" s="32">
        <v>7</v>
      </c>
      <c r="B9" s="25" t="s">
        <v>127</v>
      </c>
      <c r="C9" s="25" t="s">
        <v>66</v>
      </c>
      <c r="D9" s="25" t="s">
        <v>130</v>
      </c>
      <c r="E9" s="25" t="s">
        <v>128</v>
      </c>
      <c r="F9" s="26">
        <v>10</v>
      </c>
      <c r="G9" s="26">
        <v>4.5999999999999996</v>
      </c>
      <c r="H9" s="27">
        <f t="shared" si="0"/>
        <v>0.45999999999999996</v>
      </c>
    </row>
    <row r="10" spans="1:8" x14ac:dyDescent="0.2">
      <c r="A10" s="33">
        <v>8</v>
      </c>
      <c r="B10" s="29" t="s">
        <v>66</v>
      </c>
      <c r="C10" s="29" t="s">
        <v>69</v>
      </c>
      <c r="D10" s="29" t="s">
        <v>67</v>
      </c>
      <c r="E10" s="29" t="s">
        <v>128</v>
      </c>
      <c r="F10" s="30">
        <v>10</v>
      </c>
      <c r="G10" s="30">
        <v>6.7</v>
      </c>
      <c r="H10" s="31">
        <f t="shared" si="0"/>
        <v>0.67</v>
      </c>
    </row>
    <row r="11" spans="1:8" x14ac:dyDescent="0.2">
      <c r="A11" s="32">
        <v>9</v>
      </c>
      <c r="B11" s="25" t="s">
        <v>69</v>
      </c>
      <c r="C11" s="25" t="s">
        <v>73</v>
      </c>
      <c r="D11" s="25" t="s">
        <v>131</v>
      </c>
      <c r="E11" s="25" t="s">
        <v>128</v>
      </c>
      <c r="F11" s="26">
        <v>10</v>
      </c>
      <c r="G11" s="26">
        <v>8.8000000000000007</v>
      </c>
      <c r="H11" s="27">
        <f t="shared" si="0"/>
        <v>0.88000000000000012</v>
      </c>
    </row>
    <row r="12" spans="1:8" x14ac:dyDescent="0.2">
      <c r="A12" s="33">
        <v>10</v>
      </c>
      <c r="B12" s="29" t="s">
        <v>129</v>
      </c>
      <c r="C12" s="29" t="s">
        <v>70</v>
      </c>
      <c r="D12" s="29" t="s">
        <v>132</v>
      </c>
      <c r="E12" s="29" t="s">
        <v>128</v>
      </c>
      <c r="F12" s="30">
        <v>10</v>
      </c>
      <c r="G12" s="30">
        <v>3.4</v>
      </c>
      <c r="H12" s="31">
        <f t="shared" si="0"/>
        <v>0.33999999999999997</v>
      </c>
    </row>
    <row r="13" spans="1:8" x14ac:dyDescent="0.2">
      <c r="A13" s="32">
        <v>11</v>
      </c>
      <c r="B13" s="25" t="s">
        <v>61</v>
      </c>
      <c r="C13" s="25" t="s">
        <v>70</v>
      </c>
      <c r="D13" s="25" t="s">
        <v>132</v>
      </c>
      <c r="E13" s="25" t="s">
        <v>128</v>
      </c>
      <c r="F13" s="26">
        <v>10</v>
      </c>
      <c r="G13" s="26">
        <v>2.9</v>
      </c>
      <c r="H13" s="27">
        <f t="shared" si="0"/>
        <v>0.28999999999999998</v>
      </c>
    </row>
    <row r="14" spans="1:8" x14ac:dyDescent="0.2">
      <c r="A14" s="33">
        <v>12</v>
      </c>
      <c r="B14" s="29" t="s">
        <v>73</v>
      </c>
      <c r="C14" s="29" t="s">
        <v>75</v>
      </c>
      <c r="D14" s="29" t="s">
        <v>74</v>
      </c>
      <c r="E14" s="29" t="s">
        <v>128</v>
      </c>
      <c r="F14" s="30">
        <v>10</v>
      </c>
      <c r="G14" s="30">
        <v>9.1</v>
      </c>
      <c r="H14" s="31">
        <f t="shared" si="0"/>
        <v>0.90999999999999992</v>
      </c>
    </row>
    <row r="15" spans="1:8" x14ac:dyDescent="0.2">
      <c r="A15" s="32">
        <v>13</v>
      </c>
      <c r="B15" s="25" t="s">
        <v>73</v>
      </c>
      <c r="C15" s="25" t="s">
        <v>70</v>
      </c>
      <c r="D15" s="25" t="s">
        <v>133</v>
      </c>
      <c r="E15" s="25" t="s">
        <v>128</v>
      </c>
      <c r="F15" s="26">
        <v>10</v>
      </c>
      <c r="G15" s="26">
        <v>5.5</v>
      </c>
      <c r="H15" s="27">
        <f t="shared" si="0"/>
        <v>0.55000000000000004</v>
      </c>
    </row>
    <row r="16" spans="1:8" x14ac:dyDescent="0.2">
      <c r="A16" s="33">
        <v>14</v>
      </c>
      <c r="B16" s="29" t="s">
        <v>75</v>
      </c>
      <c r="C16" s="29" t="s">
        <v>70</v>
      </c>
      <c r="D16" s="29" t="s">
        <v>74</v>
      </c>
      <c r="E16" s="29" t="s">
        <v>128</v>
      </c>
      <c r="F16" s="30">
        <v>10</v>
      </c>
      <c r="G16" s="30">
        <v>3.8</v>
      </c>
      <c r="H16" s="31">
        <f t="shared" si="0"/>
        <v>0.38</v>
      </c>
    </row>
  </sheetData>
  <mergeCells count="1">
    <mergeCell ref="A1:H1"/>
  </mergeCells>
  <conditionalFormatting sqref="H3:H16">
    <cfRule type="cellIs" dxfId="5" priority="2" operator="greaterThan">
      <formula>0.8</formula>
    </cfRule>
    <cfRule type="cellIs" dxfId="4" priority="3" operator="between">
      <formula>0.6</formula>
      <formula>0.8</formula>
    </cfRule>
    <cfRule type="cellIs" dxfId="3" priority="4" operator="lessThan">
      <formula>0.6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6"/>
  <sheetViews>
    <sheetView zoomScaleNormal="100" workbookViewId="0">
      <selection sqref="A1:F1"/>
    </sheetView>
  </sheetViews>
  <sheetFormatPr baseColWidth="10" defaultColWidth="8.6640625" defaultRowHeight="15" x14ac:dyDescent="0.2"/>
  <cols>
    <col min="1" max="1" width="16" customWidth="1"/>
    <col min="2" max="2" width="22" customWidth="1"/>
    <col min="3" max="3" width="18" customWidth="1"/>
    <col min="4" max="4" width="16" customWidth="1"/>
    <col min="5" max="5" width="14" customWidth="1"/>
    <col min="6" max="6" width="13" customWidth="1"/>
  </cols>
  <sheetData>
    <row r="1" spans="1:6" ht="24" customHeight="1" x14ac:dyDescent="0.2">
      <c r="A1" s="2" t="s">
        <v>134</v>
      </c>
      <c r="B1" s="2"/>
      <c r="C1" s="2"/>
      <c r="D1" s="2"/>
      <c r="E1" s="2"/>
      <c r="F1" s="2"/>
    </row>
    <row r="2" spans="1:6" ht="30" x14ac:dyDescent="0.2">
      <c r="A2" s="3" t="s">
        <v>135</v>
      </c>
      <c r="B2" s="3" t="s">
        <v>136</v>
      </c>
      <c r="C2" s="3" t="s">
        <v>137</v>
      </c>
      <c r="D2" s="3" t="s">
        <v>124</v>
      </c>
      <c r="E2" s="3" t="s">
        <v>125</v>
      </c>
      <c r="F2" s="3" t="s">
        <v>126</v>
      </c>
    </row>
    <row r="3" spans="1:6" x14ac:dyDescent="0.2">
      <c r="A3" s="24" t="s">
        <v>138</v>
      </c>
      <c r="B3" s="25" t="s">
        <v>139</v>
      </c>
      <c r="C3" s="25" t="s">
        <v>140</v>
      </c>
      <c r="D3" s="26">
        <v>10</v>
      </c>
      <c r="E3" s="26">
        <v>8.4</v>
      </c>
      <c r="F3" s="27">
        <f>E3/D3</f>
        <v>0.84000000000000008</v>
      </c>
    </row>
    <row r="4" spans="1:6" x14ac:dyDescent="0.2">
      <c r="A4" s="28" t="s">
        <v>141</v>
      </c>
      <c r="B4" s="29" t="s">
        <v>139</v>
      </c>
      <c r="C4" s="29" t="s">
        <v>140</v>
      </c>
      <c r="D4" s="30">
        <v>10</v>
      </c>
      <c r="E4" s="30">
        <v>5.0999999999999996</v>
      </c>
      <c r="F4" s="31">
        <f>E4/D4</f>
        <v>0.51</v>
      </c>
    </row>
    <row r="5" spans="1:6" x14ac:dyDescent="0.2">
      <c r="A5" s="24" t="s">
        <v>142</v>
      </c>
      <c r="B5" s="25" t="s">
        <v>143</v>
      </c>
      <c r="C5" s="25" t="s">
        <v>144</v>
      </c>
      <c r="D5" s="26">
        <v>10</v>
      </c>
      <c r="E5" s="26">
        <v>3.2</v>
      </c>
      <c r="F5" s="27">
        <f>E5/D5</f>
        <v>0.32</v>
      </c>
    </row>
    <row r="6" spans="1:6" x14ac:dyDescent="0.2">
      <c r="A6" s="32" t="s">
        <v>41</v>
      </c>
      <c r="B6" s="34"/>
      <c r="C6" s="34"/>
      <c r="D6" s="23">
        <f>SUM(D3:D5)</f>
        <v>30</v>
      </c>
      <c r="E6" s="23">
        <f>SUM(E3:E5)</f>
        <v>16.7</v>
      </c>
      <c r="F6" s="35">
        <f>E6/D6</f>
        <v>0.55666666666666664</v>
      </c>
    </row>
  </sheetData>
  <mergeCells count="1">
    <mergeCell ref="A1:F1"/>
  </mergeCells>
  <conditionalFormatting sqref="F3:F5">
    <cfRule type="cellIs" dxfId="2" priority="2" operator="greaterThan">
      <formula>0.8</formula>
    </cfRule>
    <cfRule type="cellIs" dxfId="1" priority="3" operator="between">
      <formula>0.6</formula>
      <formula>0.8</formula>
    </cfRule>
    <cfRule type="cellIs" dxfId="0" priority="4" operator="lessThan">
      <formula>0.6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182"/>
  <sheetViews>
    <sheetView zoomScaleNormal="100" workbookViewId="0">
      <selection sqref="A1:J1"/>
    </sheetView>
  </sheetViews>
  <sheetFormatPr baseColWidth="10" defaultColWidth="8.6640625" defaultRowHeight="15" x14ac:dyDescent="0.2"/>
  <cols>
    <col min="1" max="1" width="11" customWidth="1"/>
    <col min="2" max="2" width="20" customWidth="1"/>
    <col min="3" max="3" width="13" customWidth="1"/>
    <col min="4" max="4" width="10" customWidth="1"/>
    <col min="5" max="5" width="13" customWidth="1"/>
    <col min="6" max="6" width="16" customWidth="1"/>
    <col min="7" max="7" width="12" customWidth="1"/>
    <col min="8" max="8" width="16" customWidth="1"/>
    <col min="9" max="9" width="9" customWidth="1"/>
    <col min="10" max="10" width="10" customWidth="1"/>
  </cols>
  <sheetData>
    <row r="1" spans="1:10" ht="24" customHeight="1" x14ac:dyDescent="0.2">
      <c r="A1" s="2" t="s">
        <v>145</v>
      </c>
      <c r="B1" s="2"/>
      <c r="C1" s="2"/>
      <c r="D1" s="2"/>
      <c r="E1" s="2"/>
      <c r="F1" s="2"/>
      <c r="G1" s="2"/>
      <c r="H1" s="2"/>
      <c r="I1" s="2"/>
      <c r="J1" s="2"/>
    </row>
    <row r="2" spans="1:10" ht="30" x14ac:dyDescent="0.2">
      <c r="A2" s="3" t="s">
        <v>146</v>
      </c>
      <c r="B2" s="3" t="s">
        <v>147</v>
      </c>
      <c r="C2" s="3" t="s">
        <v>31</v>
      </c>
      <c r="D2" s="3" t="s">
        <v>46</v>
      </c>
      <c r="E2" s="3" t="s">
        <v>78</v>
      </c>
      <c r="F2" s="3" t="s">
        <v>77</v>
      </c>
      <c r="G2" s="3" t="s">
        <v>148</v>
      </c>
      <c r="H2" s="3" t="s">
        <v>149</v>
      </c>
      <c r="I2" s="3" t="s">
        <v>80</v>
      </c>
      <c r="J2" s="3" t="s">
        <v>150</v>
      </c>
    </row>
    <row r="3" spans="1:10" x14ac:dyDescent="0.2">
      <c r="A3" s="32" t="s">
        <v>151</v>
      </c>
      <c r="B3" s="25" t="s">
        <v>152</v>
      </c>
      <c r="C3" s="25" t="s">
        <v>37</v>
      </c>
      <c r="D3" s="25" t="s">
        <v>59</v>
      </c>
      <c r="E3" s="25" t="s">
        <v>58</v>
      </c>
      <c r="F3" s="25" t="s">
        <v>84</v>
      </c>
      <c r="G3" s="13">
        <v>1270</v>
      </c>
      <c r="H3" s="15">
        <v>20</v>
      </c>
      <c r="I3" s="13" t="s">
        <v>86</v>
      </c>
      <c r="J3" s="13" t="s">
        <v>153</v>
      </c>
    </row>
    <row r="4" spans="1:10" x14ac:dyDescent="0.2">
      <c r="A4" s="33" t="s">
        <v>154</v>
      </c>
      <c r="B4" s="29" t="s">
        <v>155</v>
      </c>
      <c r="C4" s="29" t="s">
        <v>37</v>
      </c>
      <c r="D4" s="29" t="s">
        <v>59</v>
      </c>
      <c r="E4" s="29" t="s">
        <v>58</v>
      </c>
      <c r="F4" s="29" t="s">
        <v>84</v>
      </c>
      <c r="G4" s="16">
        <v>1290</v>
      </c>
      <c r="H4" s="18">
        <v>20</v>
      </c>
      <c r="I4" s="16" t="s">
        <v>86</v>
      </c>
      <c r="J4" s="16" t="s">
        <v>153</v>
      </c>
    </row>
    <row r="5" spans="1:10" x14ac:dyDescent="0.2">
      <c r="A5" s="32" t="s">
        <v>156</v>
      </c>
      <c r="B5" s="25" t="s">
        <v>157</v>
      </c>
      <c r="C5" s="25" t="s">
        <v>37</v>
      </c>
      <c r="D5" s="25" t="s">
        <v>59</v>
      </c>
      <c r="E5" s="25" t="s">
        <v>58</v>
      </c>
      <c r="F5" s="25" t="s">
        <v>84</v>
      </c>
      <c r="G5" s="13">
        <v>1310</v>
      </c>
      <c r="H5" s="15">
        <v>20</v>
      </c>
      <c r="I5" s="13" t="s">
        <v>86</v>
      </c>
      <c r="J5" s="13" t="s">
        <v>153</v>
      </c>
    </row>
    <row r="6" spans="1:10" x14ac:dyDescent="0.2">
      <c r="A6" s="33" t="s">
        <v>158</v>
      </c>
      <c r="B6" s="29" t="s">
        <v>159</v>
      </c>
      <c r="C6" s="29" t="s">
        <v>38</v>
      </c>
      <c r="D6" s="29" t="s">
        <v>59</v>
      </c>
      <c r="E6" s="29" t="s">
        <v>58</v>
      </c>
      <c r="F6" s="29" t="s">
        <v>84</v>
      </c>
      <c r="G6" s="16">
        <v>1330</v>
      </c>
      <c r="H6" s="18">
        <v>100</v>
      </c>
      <c r="I6" s="16" t="s">
        <v>86</v>
      </c>
      <c r="J6" s="16" t="s">
        <v>153</v>
      </c>
    </row>
    <row r="7" spans="1:10" x14ac:dyDescent="0.2">
      <c r="A7" s="32" t="s">
        <v>160</v>
      </c>
      <c r="B7" s="25" t="s">
        <v>161</v>
      </c>
      <c r="C7" s="25" t="s">
        <v>37</v>
      </c>
      <c r="D7" s="25" t="s">
        <v>59</v>
      </c>
      <c r="E7" s="25" t="s">
        <v>58</v>
      </c>
      <c r="F7" s="25" t="s">
        <v>84</v>
      </c>
      <c r="G7" s="13">
        <v>1350</v>
      </c>
      <c r="H7" s="15">
        <v>20</v>
      </c>
      <c r="I7" s="13" t="s">
        <v>86</v>
      </c>
      <c r="J7" s="13" t="s">
        <v>153</v>
      </c>
    </row>
    <row r="8" spans="1:10" x14ac:dyDescent="0.2">
      <c r="A8" s="33" t="s">
        <v>162</v>
      </c>
      <c r="B8" s="29" t="s">
        <v>163</v>
      </c>
      <c r="C8" s="29" t="s">
        <v>37</v>
      </c>
      <c r="D8" s="29" t="s">
        <v>59</v>
      </c>
      <c r="E8" s="29" t="s">
        <v>58</v>
      </c>
      <c r="F8" s="29" t="s">
        <v>84</v>
      </c>
      <c r="G8" s="16">
        <v>1370</v>
      </c>
      <c r="H8" s="18">
        <v>20</v>
      </c>
      <c r="I8" s="16" t="s">
        <v>86</v>
      </c>
      <c r="J8" s="16" t="s">
        <v>153</v>
      </c>
    </row>
    <row r="9" spans="1:10" x14ac:dyDescent="0.2">
      <c r="A9" s="32" t="s">
        <v>164</v>
      </c>
      <c r="B9" s="25" t="s">
        <v>165</v>
      </c>
      <c r="C9" s="25" t="s">
        <v>38</v>
      </c>
      <c r="D9" s="25" t="s">
        <v>59</v>
      </c>
      <c r="E9" s="25" t="s">
        <v>58</v>
      </c>
      <c r="F9" s="25" t="s">
        <v>84</v>
      </c>
      <c r="G9" s="13">
        <v>1390</v>
      </c>
      <c r="H9" s="15">
        <v>100</v>
      </c>
      <c r="I9" s="13" t="s">
        <v>86</v>
      </c>
      <c r="J9" s="13" t="s">
        <v>153</v>
      </c>
    </row>
    <row r="10" spans="1:10" x14ac:dyDescent="0.2">
      <c r="A10" s="33" t="s">
        <v>166</v>
      </c>
      <c r="B10" s="29" t="s">
        <v>167</v>
      </c>
      <c r="C10" s="29" t="s">
        <v>37</v>
      </c>
      <c r="D10" s="29" t="s">
        <v>59</v>
      </c>
      <c r="E10" s="29" t="s">
        <v>58</v>
      </c>
      <c r="F10" s="29" t="s">
        <v>84</v>
      </c>
      <c r="G10" s="16">
        <v>1410</v>
      </c>
      <c r="H10" s="18">
        <v>20</v>
      </c>
      <c r="I10" s="16" t="s">
        <v>86</v>
      </c>
      <c r="J10" s="16" t="s">
        <v>153</v>
      </c>
    </row>
    <row r="11" spans="1:10" x14ac:dyDescent="0.2">
      <c r="A11" s="32" t="s">
        <v>168</v>
      </c>
      <c r="B11" s="25" t="s">
        <v>169</v>
      </c>
      <c r="C11" s="25" t="s">
        <v>37</v>
      </c>
      <c r="D11" s="25" t="s">
        <v>59</v>
      </c>
      <c r="E11" s="25" t="s">
        <v>58</v>
      </c>
      <c r="F11" s="25" t="s">
        <v>84</v>
      </c>
      <c r="G11" s="13">
        <v>1430</v>
      </c>
      <c r="H11" s="15">
        <v>20</v>
      </c>
      <c r="I11" s="13" t="s">
        <v>86</v>
      </c>
      <c r="J11" s="13" t="s">
        <v>153</v>
      </c>
    </row>
    <row r="12" spans="1:10" x14ac:dyDescent="0.2">
      <c r="A12" s="33" t="s">
        <v>170</v>
      </c>
      <c r="B12" s="29" t="s">
        <v>171</v>
      </c>
      <c r="C12" s="29" t="s">
        <v>37</v>
      </c>
      <c r="D12" s="29" t="s">
        <v>59</v>
      </c>
      <c r="E12" s="29" t="s">
        <v>58</v>
      </c>
      <c r="F12" s="29" t="s">
        <v>87</v>
      </c>
      <c r="G12" s="16">
        <v>1270</v>
      </c>
      <c r="H12" s="18">
        <v>20</v>
      </c>
      <c r="I12" s="16" t="s">
        <v>88</v>
      </c>
      <c r="J12" s="16" t="s">
        <v>153</v>
      </c>
    </row>
    <row r="13" spans="1:10" x14ac:dyDescent="0.2">
      <c r="A13" s="32" t="s">
        <v>172</v>
      </c>
      <c r="B13" s="25" t="s">
        <v>173</v>
      </c>
      <c r="C13" s="25" t="s">
        <v>39</v>
      </c>
      <c r="D13" s="25" t="s">
        <v>59</v>
      </c>
      <c r="E13" s="25" t="s">
        <v>58</v>
      </c>
      <c r="F13" s="25" t="s">
        <v>87</v>
      </c>
      <c r="G13" s="13">
        <v>1290</v>
      </c>
      <c r="H13" s="15">
        <v>200</v>
      </c>
      <c r="I13" s="13" t="s">
        <v>88</v>
      </c>
      <c r="J13" s="13" t="s">
        <v>153</v>
      </c>
    </row>
    <row r="14" spans="1:10" x14ac:dyDescent="0.2">
      <c r="A14" s="33" t="s">
        <v>174</v>
      </c>
      <c r="B14" s="29" t="s">
        <v>175</v>
      </c>
      <c r="C14" s="29" t="s">
        <v>37</v>
      </c>
      <c r="D14" s="29" t="s">
        <v>59</v>
      </c>
      <c r="E14" s="29" t="s">
        <v>58</v>
      </c>
      <c r="F14" s="29" t="s">
        <v>87</v>
      </c>
      <c r="G14" s="16">
        <v>1310</v>
      </c>
      <c r="H14" s="18">
        <v>20</v>
      </c>
      <c r="I14" s="16" t="s">
        <v>88</v>
      </c>
      <c r="J14" s="16" t="s">
        <v>153</v>
      </c>
    </row>
    <row r="15" spans="1:10" x14ac:dyDescent="0.2">
      <c r="A15" s="32" t="s">
        <v>176</v>
      </c>
      <c r="B15" s="25" t="s">
        <v>177</v>
      </c>
      <c r="C15" s="25" t="s">
        <v>37</v>
      </c>
      <c r="D15" s="25" t="s">
        <v>59</v>
      </c>
      <c r="E15" s="25" t="s">
        <v>58</v>
      </c>
      <c r="F15" s="25" t="s">
        <v>87</v>
      </c>
      <c r="G15" s="13">
        <v>1330</v>
      </c>
      <c r="H15" s="15">
        <v>20</v>
      </c>
      <c r="I15" s="13" t="s">
        <v>88</v>
      </c>
      <c r="J15" s="13" t="s">
        <v>153</v>
      </c>
    </row>
    <row r="16" spans="1:10" x14ac:dyDescent="0.2">
      <c r="A16" s="33" t="s">
        <v>178</v>
      </c>
      <c r="B16" s="29" t="s">
        <v>179</v>
      </c>
      <c r="C16" s="29" t="s">
        <v>37</v>
      </c>
      <c r="D16" s="29" t="s">
        <v>59</v>
      </c>
      <c r="E16" s="29" t="s">
        <v>58</v>
      </c>
      <c r="F16" s="29" t="s">
        <v>87</v>
      </c>
      <c r="G16" s="16">
        <v>1350</v>
      </c>
      <c r="H16" s="18">
        <v>20</v>
      </c>
      <c r="I16" s="16" t="s">
        <v>88</v>
      </c>
      <c r="J16" s="16" t="s">
        <v>153</v>
      </c>
    </row>
    <row r="17" spans="1:10" x14ac:dyDescent="0.2">
      <c r="A17" s="32" t="s">
        <v>180</v>
      </c>
      <c r="B17" s="25" t="s">
        <v>181</v>
      </c>
      <c r="C17" s="25" t="s">
        <v>37</v>
      </c>
      <c r="D17" s="25" t="s">
        <v>59</v>
      </c>
      <c r="E17" s="25" t="s">
        <v>58</v>
      </c>
      <c r="F17" s="25" t="s">
        <v>87</v>
      </c>
      <c r="G17" s="13">
        <v>1370</v>
      </c>
      <c r="H17" s="15">
        <v>20</v>
      </c>
      <c r="I17" s="13" t="s">
        <v>88</v>
      </c>
      <c r="J17" s="13" t="s">
        <v>153</v>
      </c>
    </row>
    <row r="18" spans="1:10" x14ac:dyDescent="0.2">
      <c r="A18" s="33" t="s">
        <v>182</v>
      </c>
      <c r="B18" s="29" t="s">
        <v>183</v>
      </c>
      <c r="C18" s="29" t="s">
        <v>38</v>
      </c>
      <c r="D18" s="29" t="s">
        <v>59</v>
      </c>
      <c r="E18" s="29" t="s">
        <v>58</v>
      </c>
      <c r="F18" s="29" t="s">
        <v>87</v>
      </c>
      <c r="G18" s="16">
        <v>1390</v>
      </c>
      <c r="H18" s="18">
        <v>100</v>
      </c>
      <c r="I18" s="16" t="s">
        <v>88</v>
      </c>
      <c r="J18" s="16" t="s">
        <v>153</v>
      </c>
    </row>
    <row r="19" spans="1:10" x14ac:dyDescent="0.2">
      <c r="A19" s="32" t="s">
        <v>184</v>
      </c>
      <c r="B19" s="25" t="s">
        <v>185</v>
      </c>
      <c r="C19" s="25" t="s">
        <v>39</v>
      </c>
      <c r="D19" s="25" t="s">
        <v>59</v>
      </c>
      <c r="E19" s="25" t="s">
        <v>58</v>
      </c>
      <c r="F19" s="25" t="s">
        <v>87</v>
      </c>
      <c r="G19" s="13">
        <v>1410</v>
      </c>
      <c r="H19" s="15">
        <v>200</v>
      </c>
      <c r="I19" s="13" t="s">
        <v>88</v>
      </c>
      <c r="J19" s="13" t="s">
        <v>153</v>
      </c>
    </row>
    <row r="20" spans="1:10" x14ac:dyDescent="0.2">
      <c r="A20" s="33" t="s">
        <v>186</v>
      </c>
      <c r="B20" s="29" t="s">
        <v>187</v>
      </c>
      <c r="C20" s="29" t="s">
        <v>40</v>
      </c>
      <c r="D20" s="29" t="s">
        <v>59</v>
      </c>
      <c r="E20" s="29" t="s">
        <v>58</v>
      </c>
      <c r="F20" s="29" t="s">
        <v>89</v>
      </c>
      <c r="G20" s="16">
        <v>1270</v>
      </c>
      <c r="H20" s="18">
        <v>1024</v>
      </c>
      <c r="I20" s="16" t="s">
        <v>90</v>
      </c>
      <c r="J20" s="16" t="s">
        <v>153</v>
      </c>
    </row>
    <row r="21" spans="1:10" x14ac:dyDescent="0.2">
      <c r="A21" s="32" t="s">
        <v>188</v>
      </c>
      <c r="B21" s="25" t="s">
        <v>189</v>
      </c>
      <c r="C21" s="25" t="s">
        <v>37</v>
      </c>
      <c r="D21" s="25" t="s">
        <v>59</v>
      </c>
      <c r="E21" s="25" t="s">
        <v>58</v>
      </c>
      <c r="F21" s="25" t="s">
        <v>89</v>
      </c>
      <c r="G21" s="13">
        <v>1290</v>
      </c>
      <c r="H21" s="15">
        <v>20</v>
      </c>
      <c r="I21" s="13" t="s">
        <v>90</v>
      </c>
      <c r="J21" s="13" t="s">
        <v>153</v>
      </c>
    </row>
    <row r="22" spans="1:10" x14ac:dyDescent="0.2">
      <c r="A22" s="33" t="s">
        <v>190</v>
      </c>
      <c r="B22" s="29" t="s">
        <v>191</v>
      </c>
      <c r="C22" s="29" t="s">
        <v>38</v>
      </c>
      <c r="D22" s="29" t="s">
        <v>59</v>
      </c>
      <c r="E22" s="29" t="s">
        <v>58</v>
      </c>
      <c r="F22" s="29" t="s">
        <v>89</v>
      </c>
      <c r="G22" s="16">
        <v>1310</v>
      </c>
      <c r="H22" s="18">
        <v>100</v>
      </c>
      <c r="I22" s="16" t="s">
        <v>90</v>
      </c>
      <c r="J22" s="16" t="s">
        <v>153</v>
      </c>
    </row>
    <row r="23" spans="1:10" x14ac:dyDescent="0.2">
      <c r="A23" s="32" t="s">
        <v>192</v>
      </c>
      <c r="B23" s="25" t="s">
        <v>193</v>
      </c>
      <c r="C23" s="25" t="s">
        <v>38</v>
      </c>
      <c r="D23" s="25" t="s">
        <v>59</v>
      </c>
      <c r="E23" s="25" t="s">
        <v>58</v>
      </c>
      <c r="F23" s="25" t="s">
        <v>89</v>
      </c>
      <c r="G23" s="13">
        <v>1330</v>
      </c>
      <c r="H23" s="15">
        <v>100</v>
      </c>
      <c r="I23" s="13" t="s">
        <v>90</v>
      </c>
      <c r="J23" s="13" t="s">
        <v>153</v>
      </c>
    </row>
    <row r="24" spans="1:10" x14ac:dyDescent="0.2">
      <c r="A24" s="33" t="s">
        <v>194</v>
      </c>
      <c r="B24" s="29" t="s">
        <v>195</v>
      </c>
      <c r="C24" s="29" t="s">
        <v>38</v>
      </c>
      <c r="D24" s="29" t="s">
        <v>59</v>
      </c>
      <c r="E24" s="29" t="s">
        <v>58</v>
      </c>
      <c r="F24" s="29" t="s">
        <v>89</v>
      </c>
      <c r="G24" s="16">
        <v>1350</v>
      </c>
      <c r="H24" s="18">
        <v>100</v>
      </c>
      <c r="I24" s="16" t="s">
        <v>90</v>
      </c>
      <c r="J24" s="16" t="s">
        <v>153</v>
      </c>
    </row>
    <row r="25" spans="1:10" x14ac:dyDescent="0.2">
      <c r="A25" s="32" t="s">
        <v>196</v>
      </c>
      <c r="B25" s="25" t="s">
        <v>197</v>
      </c>
      <c r="C25" s="25" t="s">
        <v>39</v>
      </c>
      <c r="D25" s="25" t="s">
        <v>59</v>
      </c>
      <c r="E25" s="25" t="s">
        <v>58</v>
      </c>
      <c r="F25" s="25" t="s">
        <v>89</v>
      </c>
      <c r="G25" s="13">
        <v>1370</v>
      </c>
      <c r="H25" s="15">
        <v>200</v>
      </c>
      <c r="I25" s="13" t="s">
        <v>90</v>
      </c>
      <c r="J25" s="13" t="s">
        <v>153</v>
      </c>
    </row>
    <row r="26" spans="1:10" x14ac:dyDescent="0.2">
      <c r="A26" s="33" t="s">
        <v>198</v>
      </c>
      <c r="B26" s="29" t="s">
        <v>199</v>
      </c>
      <c r="C26" s="29" t="s">
        <v>38</v>
      </c>
      <c r="D26" s="29" t="s">
        <v>59</v>
      </c>
      <c r="E26" s="29" t="s">
        <v>58</v>
      </c>
      <c r="F26" s="29" t="s">
        <v>89</v>
      </c>
      <c r="G26" s="16">
        <v>1390</v>
      </c>
      <c r="H26" s="18">
        <v>100</v>
      </c>
      <c r="I26" s="16" t="s">
        <v>90</v>
      </c>
      <c r="J26" s="16" t="s">
        <v>153</v>
      </c>
    </row>
    <row r="27" spans="1:10" x14ac:dyDescent="0.2">
      <c r="A27" s="32" t="s">
        <v>200</v>
      </c>
      <c r="B27" s="25" t="s">
        <v>201</v>
      </c>
      <c r="C27" s="25" t="s">
        <v>37</v>
      </c>
      <c r="D27" s="25" t="s">
        <v>59</v>
      </c>
      <c r="E27" s="25" t="s">
        <v>58</v>
      </c>
      <c r="F27" s="25" t="s">
        <v>91</v>
      </c>
      <c r="G27" s="13">
        <v>1270</v>
      </c>
      <c r="H27" s="15">
        <v>20</v>
      </c>
      <c r="I27" s="13" t="s">
        <v>92</v>
      </c>
      <c r="J27" s="13" t="s">
        <v>153</v>
      </c>
    </row>
    <row r="28" spans="1:10" x14ac:dyDescent="0.2">
      <c r="A28" s="33" t="s">
        <v>202</v>
      </c>
      <c r="B28" s="29" t="s">
        <v>203</v>
      </c>
      <c r="C28" s="29" t="s">
        <v>37</v>
      </c>
      <c r="D28" s="29" t="s">
        <v>59</v>
      </c>
      <c r="E28" s="29" t="s">
        <v>58</v>
      </c>
      <c r="F28" s="29" t="s">
        <v>91</v>
      </c>
      <c r="G28" s="16">
        <v>1290</v>
      </c>
      <c r="H28" s="18">
        <v>20</v>
      </c>
      <c r="I28" s="16" t="s">
        <v>92</v>
      </c>
      <c r="J28" s="16" t="s">
        <v>153</v>
      </c>
    </row>
    <row r="29" spans="1:10" x14ac:dyDescent="0.2">
      <c r="A29" s="32" t="s">
        <v>204</v>
      </c>
      <c r="B29" s="25" t="s">
        <v>205</v>
      </c>
      <c r="C29" s="25" t="s">
        <v>37</v>
      </c>
      <c r="D29" s="25" t="s">
        <v>59</v>
      </c>
      <c r="E29" s="25" t="s">
        <v>58</v>
      </c>
      <c r="F29" s="25" t="s">
        <v>91</v>
      </c>
      <c r="G29" s="13">
        <v>1310</v>
      </c>
      <c r="H29" s="15">
        <v>20</v>
      </c>
      <c r="I29" s="13" t="s">
        <v>92</v>
      </c>
      <c r="J29" s="13" t="s">
        <v>153</v>
      </c>
    </row>
    <row r="30" spans="1:10" x14ac:dyDescent="0.2">
      <c r="A30" s="33" t="s">
        <v>206</v>
      </c>
      <c r="B30" s="29" t="s">
        <v>207</v>
      </c>
      <c r="C30" s="29" t="s">
        <v>37</v>
      </c>
      <c r="D30" s="29" t="s">
        <v>59</v>
      </c>
      <c r="E30" s="29" t="s">
        <v>58</v>
      </c>
      <c r="F30" s="29" t="s">
        <v>91</v>
      </c>
      <c r="G30" s="16">
        <v>1330</v>
      </c>
      <c r="H30" s="18">
        <v>20</v>
      </c>
      <c r="I30" s="16" t="s">
        <v>92</v>
      </c>
      <c r="J30" s="16" t="s">
        <v>153</v>
      </c>
    </row>
    <row r="31" spans="1:10" x14ac:dyDescent="0.2">
      <c r="A31" s="32" t="s">
        <v>208</v>
      </c>
      <c r="B31" s="25" t="s">
        <v>209</v>
      </c>
      <c r="C31" s="25" t="s">
        <v>37</v>
      </c>
      <c r="D31" s="25" t="s">
        <v>59</v>
      </c>
      <c r="E31" s="25" t="s">
        <v>58</v>
      </c>
      <c r="F31" s="25" t="s">
        <v>91</v>
      </c>
      <c r="G31" s="13">
        <v>1350</v>
      </c>
      <c r="H31" s="15">
        <v>20</v>
      </c>
      <c r="I31" s="13" t="s">
        <v>92</v>
      </c>
      <c r="J31" s="13" t="s">
        <v>153</v>
      </c>
    </row>
    <row r="32" spans="1:10" x14ac:dyDescent="0.2">
      <c r="A32" s="33" t="s">
        <v>210</v>
      </c>
      <c r="B32" s="29" t="s">
        <v>211</v>
      </c>
      <c r="C32" s="29" t="s">
        <v>37</v>
      </c>
      <c r="D32" s="29" t="s">
        <v>59</v>
      </c>
      <c r="E32" s="29" t="s">
        <v>58</v>
      </c>
      <c r="F32" s="29" t="s">
        <v>93</v>
      </c>
      <c r="G32" s="16">
        <v>1270</v>
      </c>
      <c r="H32" s="18">
        <v>20</v>
      </c>
      <c r="I32" s="16" t="s">
        <v>94</v>
      </c>
      <c r="J32" s="16" t="s">
        <v>153</v>
      </c>
    </row>
    <row r="33" spans="1:10" x14ac:dyDescent="0.2">
      <c r="A33" s="32" t="s">
        <v>212</v>
      </c>
      <c r="B33" s="25" t="s">
        <v>213</v>
      </c>
      <c r="C33" s="25" t="s">
        <v>37</v>
      </c>
      <c r="D33" s="25" t="s">
        <v>59</v>
      </c>
      <c r="E33" s="25" t="s">
        <v>58</v>
      </c>
      <c r="F33" s="25" t="s">
        <v>93</v>
      </c>
      <c r="G33" s="13">
        <v>1290</v>
      </c>
      <c r="H33" s="15">
        <v>20</v>
      </c>
      <c r="I33" s="13" t="s">
        <v>94</v>
      </c>
      <c r="J33" s="13" t="s">
        <v>153</v>
      </c>
    </row>
    <row r="34" spans="1:10" x14ac:dyDescent="0.2">
      <c r="A34" s="33" t="s">
        <v>214</v>
      </c>
      <c r="B34" s="29" t="s">
        <v>215</v>
      </c>
      <c r="C34" s="29" t="s">
        <v>37</v>
      </c>
      <c r="D34" s="29" t="s">
        <v>59</v>
      </c>
      <c r="E34" s="29" t="s">
        <v>61</v>
      </c>
      <c r="F34" s="29" t="s">
        <v>95</v>
      </c>
      <c r="G34" s="16">
        <v>1270</v>
      </c>
      <c r="H34" s="18">
        <v>20</v>
      </c>
      <c r="I34" s="16" t="s">
        <v>86</v>
      </c>
      <c r="J34" s="16" t="s">
        <v>153</v>
      </c>
    </row>
    <row r="35" spans="1:10" x14ac:dyDescent="0.2">
      <c r="A35" s="32" t="s">
        <v>216</v>
      </c>
      <c r="B35" s="25" t="s">
        <v>217</v>
      </c>
      <c r="C35" s="25" t="s">
        <v>40</v>
      </c>
      <c r="D35" s="25" t="s">
        <v>59</v>
      </c>
      <c r="E35" s="25" t="s">
        <v>61</v>
      </c>
      <c r="F35" s="25" t="s">
        <v>95</v>
      </c>
      <c r="G35" s="13">
        <v>1290</v>
      </c>
      <c r="H35" s="15">
        <v>1024</v>
      </c>
      <c r="I35" s="13" t="s">
        <v>86</v>
      </c>
      <c r="J35" s="13" t="s">
        <v>153</v>
      </c>
    </row>
    <row r="36" spans="1:10" x14ac:dyDescent="0.2">
      <c r="A36" s="33" t="s">
        <v>218</v>
      </c>
      <c r="B36" s="29" t="s">
        <v>219</v>
      </c>
      <c r="C36" s="29" t="s">
        <v>37</v>
      </c>
      <c r="D36" s="29" t="s">
        <v>59</v>
      </c>
      <c r="E36" s="29" t="s">
        <v>61</v>
      </c>
      <c r="F36" s="29" t="s">
        <v>95</v>
      </c>
      <c r="G36" s="16">
        <v>1310</v>
      </c>
      <c r="H36" s="18">
        <v>20</v>
      </c>
      <c r="I36" s="16" t="s">
        <v>86</v>
      </c>
      <c r="J36" s="16" t="s">
        <v>153</v>
      </c>
    </row>
    <row r="37" spans="1:10" x14ac:dyDescent="0.2">
      <c r="A37" s="32" t="s">
        <v>220</v>
      </c>
      <c r="B37" s="25" t="s">
        <v>221</v>
      </c>
      <c r="C37" s="25" t="s">
        <v>37</v>
      </c>
      <c r="D37" s="25" t="s">
        <v>59</v>
      </c>
      <c r="E37" s="25" t="s">
        <v>61</v>
      </c>
      <c r="F37" s="25" t="s">
        <v>95</v>
      </c>
      <c r="G37" s="13">
        <v>1330</v>
      </c>
      <c r="H37" s="15">
        <v>20</v>
      </c>
      <c r="I37" s="13" t="s">
        <v>86</v>
      </c>
      <c r="J37" s="13" t="s">
        <v>153</v>
      </c>
    </row>
    <row r="38" spans="1:10" x14ac:dyDescent="0.2">
      <c r="A38" s="33" t="s">
        <v>222</v>
      </c>
      <c r="B38" s="29" t="s">
        <v>223</v>
      </c>
      <c r="C38" s="29" t="s">
        <v>38</v>
      </c>
      <c r="D38" s="29" t="s">
        <v>59</v>
      </c>
      <c r="E38" s="29" t="s">
        <v>61</v>
      </c>
      <c r="F38" s="29" t="s">
        <v>95</v>
      </c>
      <c r="G38" s="16">
        <v>1350</v>
      </c>
      <c r="H38" s="18">
        <v>100</v>
      </c>
      <c r="I38" s="16" t="s">
        <v>86</v>
      </c>
      <c r="J38" s="16" t="s">
        <v>153</v>
      </c>
    </row>
    <row r="39" spans="1:10" x14ac:dyDescent="0.2">
      <c r="A39" s="32" t="s">
        <v>224</v>
      </c>
      <c r="B39" s="25" t="s">
        <v>225</v>
      </c>
      <c r="C39" s="25" t="s">
        <v>37</v>
      </c>
      <c r="D39" s="25" t="s">
        <v>59</v>
      </c>
      <c r="E39" s="25" t="s">
        <v>61</v>
      </c>
      <c r="F39" s="25" t="s">
        <v>95</v>
      </c>
      <c r="G39" s="13">
        <v>1370</v>
      </c>
      <c r="H39" s="15">
        <v>20</v>
      </c>
      <c r="I39" s="13" t="s">
        <v>86</v>
      </c>
      <c r="J39" s="13" t="s">
        <v>153</v>
      </c>
    </row>
    <row r="40" spans="1:10" x14ac:dyDescent="0.2">
      <c r="A40" s="33" t="s">
        <v>226</v>
      </c>
      <c r="B40" s="29" t="s">
        <v>227</v>
      </c>
      <c r="C40" s="29" t="s">
        <v>37</v>
      </c>
      <c r="D40" s="29" t="s">
        <v>59</v>
      </c>
      <c r="E40" s="29" t="s">
        <v>61</v>
      </c>
      <c r="F40" s="29" t="s">
        <v>95</v>
      </c>
      <c r="G40" s="16">
        <v>1390</v>
      </c>
      <c r="H40" s="18">
        <v>20</v>
      </c>
      <c r="I40" s="16" t="s">
        <v>86</v>
      </c>
      <c r="J40" s="16" t="s">
        <v>153</v>
      </c>
    </row>
    <row r="41" spans="1:10" x14ac:dyDescent="0.2">
      <c r="A41" s="32" t="s">
        <v>228</v>
      </c>
      <c r="B41" s="25" t="s">
        <v>229</v>
      </c>
      <c r="C41" s="25" t="s">
        <v>38</v>
      </c>
      <c r="D41" s="25" t="s">
        <v>59</v>
      </c>
      <c r="E41" s="25" t="s">
        <v>61</v>
      </c>
      <c r="F41" s="25" t="s">
        <v>95</v>
      </c>
      <c r="G41" s="13">
        <v>1410</v>
      </c>
      <c r="H41" s="15">
        <v>100</v>
      </c>
      <c r="I41" s="13" t="s">
        <v>86</v>
      </c>
      <c r="J41" s="13" t="s">
        <v>153</v>
      </c>
    </row>
    <row r="42" spans="1:10" x14ac:dyDescent="0.2">
      <c r="A42" s="33" t="s">
        <v>230</v>
      </c>
      <c r="B42" s="29" t="s">
        <v>231</v>
      </c>
      <c r="C42" s="29" t="s">
        <v>37</v>
      </c>
      <c r="D42" s="29" t="s">
        <v>59</v>
      </c>
      <c r="E42" s="29" t="s">
        <v>61</v>
      </c>
      <c r="F42" s="29" t="s">
        <v>95</v>
      </c>
      <c r="G42" s="16">
        <v>1430</v>
      </c>
      <c r="H42" s="18">
        <v>20</v>
      </c>
      <c r="I42" s="16" t="s">
        <v>86</v>
      </c>
      <c r="J42" s="16" t="s">
        <v>153</v>
      </c>
    </row>
    <row r="43" spans="1:10" x14ac:dyDescent="0.2">
      <c r="A43" s="32" t="s">
        <v>232</v>
      </c>
      <c r="B43" s="25" t="s">
        <v>233</v>
      </c>
      <c r="C43" s="25" t="s">
        <v>37</v>
      </c>
      <c r="D43" s="25" t="s">
        <v>59</v>
      </c>
      <c r="E43" s="25" t="s">
        <v>61</v>
      </c>
      <c r="F43" s="25" t="s">
        <v>96</v>
      </c>
      <c r="G43" s="13">
        <v>1270</v>
      </c>
      <c r="H43" s="15">
        <v>20</v>
      </c>
      <c r="I43" s="13" t="s">
        <v>88</v>
      </c>
      <c r="J43" s="13" t="s">
        <v>153</v>
      </c>
    </row>
    <row r="44" spans="1:10" x14ac:dyDescent="0.2">
      <c r="A44" s="33" t="s">
        <v>234</v>
      </c>
      <c r="B44" s="29" t="s">
        <v>235</v>
      </c>
      <c r="C44" s="29" t="s">
        <v>38</v>
      </c>
      <c r="D44" s="29" t="s">
        <v>59</v>
      </c>
      <c r="E44" s="29" t="s">
        <v>61</v>
      </c>
      <c r="F44" s="29" t="s">
        <v>96</v>
      </c>
      <c r="G44" s="16">
        <v>1290</v>
      </c>
      <c r="H44" s="18">
        <v>100</v>
      </c>
      <c r="I44" s="16" t="s">
        <v>88</v>
      </c>
      <c r="J44" s="16" t="s">
        <v>153</v>
      </c>
    </row>
    <row r="45" spans="1:10" x14ac:dyDescent="0.2">
      <c r="A45" s="32" t="s">
        <v>236</v>
      </c>
      <c r="B45" s="25" t="s">
        <v>237</v>
      </c>
      <c r="C45" s="25" t="s">
        <v>40</v>
      </c>
      <c r="D45" s="25" t="s">
        <v>59</v>
      </c>
      <c r="E45" s="25" t="s">
        <v>61</v>
      </c>
      <c r="F45" s="25" t="s">
        <v>96</v>
      </c>
      <c r="G45" s="13">
        <v>1310</v>
      </c>
      <c r="H45" s="15">
        <v>1024</v>
      </c>
      <c r="I45" s="13" t="s">
        <v>88</v>
      </c>
      <c r="J45" s="13" t="s">
        <v>153</v>
      </c>
    </row>
    <row r="46" spans="1:10" x14ac:dyDescent="0.2">
      <c r="A46" s="33" t="s">
        <v>238</v>
      </c>
      <c r="B46" s="29" t="s">
        <v>239</v>
      </c>
      <c r="C46" s="29" t="s">
        <v>38</v>
      </c>
      <c r="D46" s="29" t="s">
        <v>59</v>
      </c>
      <c r="E46" s="29" t="s">
        <v>61</v>
      </c>
      <c r="F46" s="29" t="s">
        <v>96</v>
      </c>
      <c r="G46" s="16">
        <v>1330</v>
      </c>
      <c r="H46" s="18">
        <v>100</v>
      </c>
      <c r="I46" s="16" t="s">
        <v>88</v>
      </c>
      <c r="J46" s="16" t="s">
        <v>153</v>
      </c>
    </row>
    <row r="47" spans="1:10" x14ac:dyDescent="0.2">
      <c r="A47" s="32" t="s">
        <v>240</v>
      </c>
      <c r="B47" s="25" t="s">
        <v>241</v>
      </c>
      <c r="C47" s="25" t="s">
        <v>38</v>
      </c>
      <c r="D47" s="25" t="s">
        <v>59</v>
      </c>
      <c r="E47" s="25" t="s">
        <v>61</v>
      </c>
      <c r="F47" s="25" t="s">
        <v>96</v>
      </c>
      <c r="G47" s="13">
        <v>1350</v>
      </c>
      <c r="H47" s="15">
        <v>100</v>
      </c>
      <c r="I47" s="13" t="s">
        <v>88</v>
      </c>
      <c r="J47" s="13" t="s">
        <v>153</v>
      </c>
    </row>
    <row r="48" spans="1:10" x14ac:dyDescent="0.2">
      <c r="A48" s="33" t="s">
        <v>242</v>
      </c>
      <c r="B48" s="29" t="s">
        <v>243</v>
      </c>
      <c r="C48" s="29" t="s">
        <v>38</v>
      </c>
      <c r="D48" s="29" t="s">
        <v>59</v>
      </c>
      <c r="E48" s="29" t="s">
        <v>61</v>
      </c>
      <c r="F48" s="29" t="s">
        <v>96</v>
      </c>
      <c r="G48" s="16">
        <v>1370</v>
      </c>
      <c r="H48" s="18">
        <v>100</v>
      </c>
      <c r="I48" s="16" t="s">
        <v>88</v>
      </c>
      <c r="J48" s="16" t="s">
        <v>153</v>
      </c>
    </row>
    <row r="49" spans="1:10" x14ac:dyDescent="0.2">
      <c r="A49" s="32" t="s">
        <v>244</v>
      </c>
      <c r="B49" s="25" t="s">
        <v>245</v>
      </c>
      <c r="C49" s="25" t="s">
        <v>38</v>
      </c>
      <c r="D49" s="25" t="s">
        <v>59</v>
      </c>
      <c r="E49" s="25" t="s">
        <v>61</v>
      </c>
      <c r="F49" s="25" t="s">
        <v>96</v>
      </c>
      <c r="G49" s="13">
        <v>1390</v>
      </c>
      <c r="H49" s="15">
        <v>100</v>
      </c>
      <c r="I49" s="13" t="s">
        <v>88</v>
      </c>
      <c r="J49" s="13" t="s">
        <v>153</v>
      </c>
    </row>
    <row r="50" spans="1:10" x14ac:dyDescent="0.2">
      <c r="A50" s="33" t="s">
        <v>246</v>
      </c>
      <c r="B50" s="29" t="s">
        <v>247</v>
      </c>
      <c r="C50" s="29" t="s">
        <v>37</v>
      </c>
      <c r="D50" s="29" t="s">
        <v>59</v>
      </c>
      <c r="E50" s="29" t="s">
        <v>61</v>
      </c>
      <c r="F50" s="29" t="s">
        <v>96</v>
      </c>
      <c r="G50" s="16">
        <v>1410</v>
      </c>
      <c r="H50" s="18">
        <v>20</v>
      </c>
      <c r="I50" s="16" t="s">
        <v>88</v>
      </c>
      <c r="J50" s="16" t="s">
        <v>153</v>
      </c>
    </row>
    <row r="51" spans="1:10" x14ac:dyDescent="0.2">
      <c r="A51" s="32" t="s">
        <v>248</v>
      </c>
      <c r="B51" s="25" t="s">
        <v>249</v>
      </c>
      <c r="C51" s="25" t="s">
        <v>39</v>
      </c>
      <c r="D51" s="25" t="s">
        <v>59</v>
      </c>
      <c r="E51" s="25" t="s">
        <v>61</v>
      </c>
      <c r="F51" s="25" t="s">
        <v>96</v>
      </c>
      <c r="G51" s="13">
        <v>1430</v>
      </c>
      <c r="H51" s="15">
        <v>200</v>
      </c>
      <c r="I51" s="13" t="s">
        <v>88</v>
      </c>
      <c r="J51" s="13" t="s">
        <v>153</v>
      </c>
    </row>
    <row r="52" spans="1:10" x14ac:dyDescent="0.2">
      <c r="A52" s="33" t="s">
        <v>250</v>
      </c>
      <c r="B52" s="29" t="s">
        <v>251</v>
      </c>
      <c r="C52" s="29" t="s">
        <v>37</v>
      </c>
      <c r="D52" s="29" t="s">
        <v>59</v>
      </c>
      <c r="E52" s="29" t="s">
        <v>61</v>
      </c>
      <c r="F52" s="29" t="s">
        <v>97</v>
      </c>
      <c r="G52" s="16">
        <v>1270</v>
      </c>
      <c r="H52" s="18">
        <v>20</v>
      </c>
      <c r="I52" s="16" t="s">
        <v>90</v>
      </c>
      <c r="J52" s="16" t="s">
        <v>153</v>
      </c>
    </row>
    <row r="53" spans="1:10" x14ac:dyDescent="0.2">
      <c r="A53" s="32" t="s">
        <v>252</v>
      </c>
      <c r="B53" s="25" t="s">
        <v>253</v>
      </c>
      <c r="C53" s="25" t="s">
        <v>39</v>
      </c>
      <c r="D53" s="25" t="s">
        <v>59</v>
      </c>
      <c r="E53" s="25" t="s">
        <v>61</v>
      </c>
      <c r="F53" s="25" t="s">
        <v>97</v>
      </c>
      <c r="G53" s="13">
        <v>1290</v>
      </c>
      <c r="H53" s="15">
        <v>200</v>
      </c>
      <c r="I53" s="13" t="s">
        <v>90</v>
      </c>
      <c r="J53" s="13" t="s">
        <v>153</v>
      </c>
    </row>
    <row r="54" spans="1:10" x14ac:dyDescent="0.2">
      <c r="A54" s="33" t="s">
        <v>254</v>
      </c>
      <c r="B54" s="29" t="s">
        <v>255</v>
      </c>
      <c r="C54" s="29" t="s">
        <v>37</v>
      </c>
      <c r="D54" s="29" t="s">
        <v>59</v>
      </c>
      <c r="E54" s="29" t="s">
        <v>61</v>
      </c>
      <c r="F54" s="29" t="s">
        <v>97</v>
      </c>
      <c r="G54" s="16">
        <v>1310</v>
      </c>
      <c r="H54" s="18">
        <v>20</v>
      </c>
      <c r="I54" s="16" t="s">
        <v>90</v>
      </c>
      <c r="J54" s="16" t="s">
        <v>153</v>
      </c>
    </row>
    <row r="55" spans="1:10" x14ac:dyDescent="0.2">
      <c r="A55" s="32" t="s">
        <v>256</v>
      </c>
      <c r="B55" s="25" t="s">
        <v>257</v>
      </c>
      <c r="C55" s="25" t="s">
        <v>38</v>
      </c>
      <c r="D55" s="25" t="s">
        <v>59</v>
      </c>
      <c r="E55" s="25" t="s">
        <v>61</v>
      </c>
      <c r="F55" s="25" t="s">
        <v>97</v>
      </c>
      <c r="G55" s="13">
        <v>1330</v>
      </c>
      <c r="H55" s="15">
        <v>100</v>
      </c>
      <c r="I55" s="13" t="s">
        <v>90</v>
      </c>
      <c r="J55" s="13" t="s">
        <v>153</v>
      </c>
    </row>
    <row r="56" spans="1:10" x14ac:dyDescent="0.2">
      <c r="A56" s="33" t="s">
        <v>258</v>
      </c>
      <c r="B56" s="29" t="s">
        <v>259</v>
      </c>
      <c r="C56" s="29" t="s">
        <v>37</v>
      </c>
      <c r="D56" s="29" t="s">
        <v>59</v>
      </c>
      <c r="E56" s="29" t="s">
        <v>61</v>
      </c>
      <c r="F56" s="29" t="s">
        <v>97</v>
      </c>
      <c r="G56" s="16">
        <v>1350</v>
      </c>
      <c r="H56" s="18">
        <v>20</v>
      </c>
      <c r="I56" s="16" t="s">
        <v>90</v>
      </c>
      <c r="J56" s="16" t="s">
        <v>153</v>
      </c>
    </row>
    <row r="57" spans="1:10" x14ac:dyDescent="0.2">
      <c r="A57" s="32" t="s">
        <v>260</v>
      </c>
      <c r="B57" s="25" t="s">
        <v>261</v>
      </c>
      <c r="C57" s="25" t="s">
        <v>38</v>
      </c>
      <c r="D57" s="25" t="s">
        <v>59</v>
      </c>
      <c r="E57" s="25" t="s">
        <v>61</v>
      </c>
      <c r="F57" s="25" t="s">
        <v>97</v>
      </c>
      <c r="G57" s="13">
        <v>1370</v>
      </c>
      <c r="H57" s="15">
        <v>100</v>
      </c>
      <c r="I57" s="13" t="s">
        <v>90</v>
      </c>
      <c r="J57" s="13" t="s">
        <v>153</v>
      </c>
    </row>
    <row r="58" spans="1:10" x14ac:dyDescent="0.2">
      <c r="A58" s="33" t="s">
        <v>262</v>
      </c>
      <c r="B58" s="29" t="s">
        <v>263</v>
      </c>
      <c r="C58" s="29" t="s">
        <v>37</v>
      </c>
      <c r="D58" s="29" t="s">
        <v>59</v>
      </c>
      <c r="E58" s="29" t="s">
        <v>61</v>
      </c>
      <c r="F58" s="29" t="s">
        <v>97</v>
      </c>
      <c r="G58" s="16">
        <v>1390</v>
      </c>
      <c r="H58" s="18">
        <v>20</v>
      </c>
      <c r="I58" s="16" t="s">
        <v>90</v>
      </c>
      <c r="J58" s="16" t="s">
        <v>153</v>
      </c>
    </row>
    <row r="59" spans="1:10" x14ac:dyDescent="0.2">
      <c r="A59" s="32" t="s">
        <v>264</v>
      </c>
      <c r="B59" s="25" t="s">
        <v>265</v>
      </c>
      <c r="C59" s="25" t="s">
        <v>37</v>
      </c>
      <c r="D59" s="25" t="s">
        <v>59</v>
      </c>
      <c r="E59" s="25" t="s">
        <v>61</v>
      </c>
      <c r="F59" s="25" t="s">
        <v>97</v>
      </c>
      <c r="G59" s="13">
        <v>1410</v>
      </c>
      <c r="H59" s="15">
        <v>20</v>
      </c>
      <c r="I59" s="13" t="s">
        <v>90</v>
      </c>
      <c r="J59" s="13" t="s">
        <v>153</v>
      </c>
    </row>
    <row r="60" spans="1:10" x14ac:dyDescent="0.2">
      <c r="A60" s="33" t="s">
        <v>266</v>
      </c>
      <c r="B60" s="29" t="s">
        <v>267</v>
      </c>
      <c r="C60" s="29" t="s">
        <v>37</v>
      </c>
      <c r="D60" s="29" t="s">
        <v>59</v>
      </c>
      <c r="E60" s="29" t="s">
        <v>61</v>
      </c>
      <c r="F60" s="29" t="s">
        <v>98</v>
      </c>
      <c r="G60" s="16">
        <v>1270</v>
      </c>
      <c r="H60" s="18">
        <v>20</v>
      </c>
      <c r="I60" s="16" t="s">
        <v>92</v>
      </c>
      <c r="J60" s="16" t="s">
        <v>153</v>
      </c>
    </row>
    <row r="61" spans="1:10" x14ac:dyDescent="0.2">
      <c r="A61" s="32" t="s">
        <v>268</v>
      </c>
      <c r="B61" s="25" t="s">
        <v>269</v>
      </c>
      <c r="C61" s="25" t="s">
        <v>38</v>
      </c>
      <c r="D61" s="25" t="s">
        <v>59</v>
      </c>
      <c r="E61" s="25" t="s">
        <v>61</v>
      </c>
      <c r="F61" s="25" t="s">
        <v>98</v>
      </c>
      <c r="G61" s="13">
        <v>1290</v>
      </c>
      <c r="H61" s="15">
        <v>100</v>
      </c>
      <c r="I61" s="13" t="s">
        <v>92</v>
      </c>
      <c r="J61" s="13" t="s">
        <v>153</v>
      </c>
    </row>
    <row r="62" spans="1:10" x14ac:dyDescent="0.2">
      <c r="A62" s="33" t="s">
        <v>270</v>
      </c>
      <c r="B62" s="29" t="s">
        <v>271</v>
      </c>
      <c r="C62" s="29" t="s">
        <v>37</v>
      </c>
      <c r="D62" s="29" t="s">
        <v>59</v>
      </c>
      <c r="E62" s="29" t="s">
        <v>61</v>
      </c>
      <c r="F62" s="29" t="s">
        <v>98</v>
      </c>
      <c r="G62" s="16">
        <v>1310</v>
      </c>
      <c r="H62" s="18">
        <v>20</v>
      </c>
      <c r="I62" s="16" t="s">
        <v>92</v>
      </c>
      <c r="J62" s="16" t="s">
        <v>153</v>
      </c>
    </row>
    <row r="63" spans="1:10" x14ac:dyDescent="0.2">
      <c r="A63" s="32" t="s">
        <v>272</v>
      </c>
      <c r="B63" s="25" t="s">
        <v>273</v>
      </c>
      <c r="C63" s="25" t="s">
        <v>38</v>
      </c>
      <c r="D63" s="25" t="s">
        <v>59</v>
      </c>
      <c r="E63" s="25" t="s">
        <v>61</v>
      </c>
      <c r="F63" s="25" t="s">
        <v>98</v>
      </c>
      <c r="G63" s="13">
        <v>1330</v>
      </c>
      <c r="H63" s="15">
        <v>100</v>
      </c>
      <c r="I63" s="13" t="s">
        <v>92</v>
      </c>
      <c r="J63" s="13" t="s">
        <v>153</v>
      </c>
    </row>
    <row r="64" spans="1:10" x14ac:dyDescent="0.2">
      <c r="A64" s="33" t="s">
        <v>274</v>
      </c>
      <c r="B64" s="29" t="s">
        <v>275</v>
      </c>
      <c r="C64" s="29" t="s">
        <v>40</v>
      </c>
      <c r="D64" s="29" t="s">
        <v>59</v>
      </c>
      <c r="E64" s="29" t="s">
        <v>61</v>
      </c>
      <c r="F64" s="29" t="s">
        <v>98</v>
      </c>
      <c r="G64" s="16">
        <v>1350</v>
      </c>
      <c r="H64" s="18">
        <v>1024</v>
      </c>
      <c r="I64" s="16" t="s">
        <v>92</v>
      </c>
      <c r="J64" s="16" t="s">
        <v>153</v>
      </c>
    </row>
    <row r="65" spans="1:10" ht="30" x14ac:dyDescent="0.2">
      <c r="A65" s="32" t="s">
        <v>276</v>
      </c>
      <c r="B65" s="25" t="s">
        <v>277</v>
      </c>
      <c r="C65" s="25" t="s">
        <v>37</v>
      </c>
      <c r="D65" s="25" t="s">
        <v>59</v>
      </c>
      <c r="E65" s="25" t="s">
        <v>63</v>
      </c>
      <c r="F65" s="25" t="s">
        <v>99</v>
      </c>
      <c r="G65" s="13">
        <v>1270</v>
      </c>
      <c r="H65" s="15">
        <v>20</v>
      </c>
      <c r="I65" s="13" t="s">
        <v>86</v>
      </c>
      <c r="J65" s="13" t="s">
        <v>153</v>
      </c>
    </row>
    <row r="66" spans="1:10" ht="30" x14ac:dyDescent="0.2">
      <c r="A66" s="33" t="s">
        <v>278</v>
      </c>
      <c r="B66" s="29" t="s">
        <v>279</v>
      </c>
      <c r="C66" s="29" t="s">
        <v>37</v>
      </c>
      <c r="D66" s="29" t="s">
        <v>59</v>
      </c>
      <c r="E66" s="29" t="s">
        <v>63</v>
      </c>
      <c r="F66" s="29" t="s">
        <v>99</v>
      </c>
      <c r="G66" s="16">
        <v>1290</v>
      </c>
      <c r="H66" s="18">
        <v>20</v>
      </c>
      <c r="I66" s="16" t="s">
        <v>86</v>
      </c>
      <c r="J66" s="16" t="s">
        <v>153</v>
      </c>
    </row>
    <row r="67" spans="1:10" ht="30" x14ac:dyDescent="0.2">
      <c r="A67" s="32" t="s">
        <v>280</v>
      </c>
      <c r="B67" s="25" t="s">
        <v>281</v>
      </c>
      <c r="C67" s="25" t="s">
        <v>38</v>
      </c>
      <c r="D67" s="25" t="s">
        <v>59</v>
      </c>
      <c r="E67" s="25" t="s">
        <v>63</v>
      </c>
      <c r="F67" s="25" t="s">
        <v>99</v>
      </c>
      <c r="G67" s="13">
        <v>1310</v>
      </c>
      <c r="H67" s="15">
        <v>100</v>
      </c>
      <c r="I67" s="13" t="s">
        <v>86</v>
      </c>
      <c r="J67" s="13" t="s">
        <v>153</v>
      </c>
    </row>
    <row r="68" spans="1:10" ht="30" x14ac:dyDescent="0.2">
      <c r="A68" s="33" t="s">
        <v>282</v>
      </c>
      <c r="B68" s="29" t="s">
        <v>283</v>
      </c>
      <c r="C68" s="29" t="s">
        <v>39</v>
      </c>
      <c r="D68" s="29" t="s">
        <v>59</v>
      </c>
      <c r="E68" s="29" t="s">
        <v>63</v>
      </c>
      <c r="F68" s="29" t="s">
        <v>99</v>
      </c>
      <c r="G68" s="16">
        <v>1330</v>
      </c>
      <c r="H68" s="18">
        <v>200</v>
      </c>
      <c r="I68" s="16" t="s">
        <v>86</v>
      </c>
      <c r="J68" s="16" t="s">
        <v>153</v>
      </c>
    </row>
    <row r="69" spans="1:10" ht="30" x14ac:dyDescent="0.2">
      <c r="A69" s="32" t="s">
        <v>284</v>
      </c>
      <c r="B69" s="25" t="s">
        <v>285</v>
      </c>
      <c r="C69" s="25" t="s">
        <v>40</v>
      </c>
      <c r="D69" s="25" t="s">
        <v>59</v>
      </c>
      <c r="E69" s="25" t="s">
        <v>63</v>
      </c>
      <c r="F69" s="25" t="s">
        <v>99</v>
      </c>
      <c r="G69" s="13">
        <v>1350</v>
      </c>
      <c r="H69" s="15">
        <v>1024</v>
      </c>
      <c r="I69" s="13" t="s">
        <v>86</v>
      </c>
      <c r="J69" s="13" t="s">
        <v>153</v>
      </c>
    </row>
    <row r="70" spans="1:10" ht="30" x14ac:dyDescent="0.2">
      <c r="A70" s="33" t="s">
        <v>286</v>
      </c>
      <c r="B70" s="29" t="s">
        <v>287</v>
      </c>
      <c r="C70" s="29" t="s">
        <v>38</v>
      </c>
      <c r="D70" s="29" t="s">
        <v>59</v>
      </c>
      <c r="E70" s="29" t="s">
        <v>63</v>
      </c>
      <c r="F70" s="29" t="s">
        <v>99</v>
      </c>
      <c r="G70" s="16">
        <v>1370</v>
      </c>
      <c r="H70" s="18">
        <v>100</v>
      </c>
      <c r="I70" s="16" t="s">
        <v>86</v>
      </c>
      <c r="J70" s="16" t="s">
        <v>153</v>
      </c>
    </row>
    <row r="71" spans="1:10" ht="30" x14ac:dyDescent="0.2">
      <c r="A71" s="32" t="s">
        <v>288</v>
      </c>
      <c r="B71" s="25" t="s">
        <v>289</v>
      </c>
      <c r="C71" s="25" t="s">
        <v>37</v>
      </c>
      <c r="D71" s="25" t="s">
        <v>59</v>
      </c>
      <c r="E71" s="25" t="s">
        <v>63</v>
      </c>
      <c r="F71" s="25" t="s">
        <v>100</v>
      </c>
      <c r="G71" s="13">
        <v>1270</v>
      </c>
      <c r="H71" s="15">
        <v>20</v>
      </c>
      <c r="I71" s="13" t="s">
        <v>88</v>
      </c>
      <c r="J71" s="13" t="s">
        <v>153</v>
      </c>
    </row>
    <row r="72" spans="1:10" ht="30" x14ac:dyDescent="0.2">
      <c r="A72" s="33" t="s">
        <v>290</v>
      </c>
      <c r="B72" s="29" t="s">
        <v>291</v>
      </c>
      <c r="C72" s="29" t="s">
        <v>38</v>
      </c>
      <c r="D72" s="29" t="s">
        <v>59</v>
      </c>
      <c r="E72" s="29" t="s">
        <v>63</v>
      </c>
      <c r="F72" s="29" t="s">
        <v>100</v>
      </c>
      <c r="G72" s="16">
        <v>1290</v>
      </c>
      <c r="H72" s="18">
        <v>100</v>
      </c>
      <c r="I72" s="16" t="s">
        <v>88</v>
      </c>
      <c r="J72" s="16" t="s">
        <v>153</v>
      </c>
    </row>
    <row r="73" spans="1:10" ht="30" x14ac:dyDescent="0.2">
      <c r="A73" s="32" t="s">
        <v>292</v>
      </c>
      <c r="B73" s="25" t="s">
        <v>293</v>
      </c>
      <c r="C73" s="25" t="s">
        <v>37</v>
      </c>
      <c r="D73" s="25" t="s">
        <v>59</v>
      </c>
      <c r="E73" s="25" t="s">
        <v>63</v>
      </c>
      <c r="F73" s="25" t="s">
        <v>100</v>
      </c>
      <c r="G73" s="13">
        <v>1310</v>
      </c>
      <c r="H73" s="15">
        <v>20</v>
      </c>
      <c r="I73" s="13" t="s">
        <v>88</v>
      </c>
      <c r="J73" s="13" t="s">
        <v>153</v>
      </c>
    </row>
    <row r="74" spans="1:10" ht="30" x14ac:dyDescent="0.2">
      <c r="A74" s="33" t="s">
        <v>294</v>
      </c>
      <c r="B74" s="29" t="s">
        <v>295</v>
      </c>
      <c r="C74" s="29" t="s">
        <v>37</v>
      </c>
      <c r="D74" s="29" t="s">
        <v>59</v>
      </c>
      <c r="E74" s="29" t="s">
        <v>63</v>
      </c>
      <c r="F74" s="29" t="s">
        <v>100</v>
      </c>
      <c r="G74" s="16">
        <v>1330</v>
      </c>
      <c r="H74" s="18">
        <v>20</v>
      </c>
      <c r="I74" s="16" t="s">
        <v>88</v>
      </c>
      <c r="J74" s="16" t="s">
        <v>153</v>
      </c>
    </row>
    <row r="75" spans="1:10" ht="30" x14ac:dyDescent="0.2">
      <c r="A75" s="32" t="s">
        <v>296</v>
      </c>
      <c r="B75" s="25" t="s">
        <v>297</v>
      </c>
      <c r="C75" s="25" t="s">
        <v>37</v>
      </c>
      <c r="D75" s="25" t="s">
        <v>59</v>
      </c>
      <c r="E75" s="25" t="s">
        <v>63</v>
      </c>
      <c r="F75" s="25" t="s">
        <v>100</v>
      </c>
      <c r="G75" s="13">
        <v>1350</v>
      </c>
      <c r="H75" s="15">
        <v>20</v>
      </c>
      <c r="I75" s="13" t="s">
        <v>88</v>
      </c>
      <c r="J75" s="13" t="s">
        <v>153</v>
      </c>
    </row>
    <row r="76" spans="1:10" ht="30" x14ac:dyDescent="0.2">
      <c r="A76" s="33" t="s">
        <v>298</v>
      </c>
      <c r="B76" s="29" t="s">
        <v>299</v>
      </c>
      <c r="C76" s="29" t="s">
        <v>38</v>
      </c>
      <c r="D76" s="29" t="s">
        <v>59</v>
      </c>
      <c r="E76" s="29" t="s">
        <v>63</v>
      </c>
      <c r="F76" s="29" t="s">
        <v>101</v>
      </c>
      <c r="G76" s="16">
        <v>1270</v>
      </c>
      <c r="H76" s="18">
        <v>100</v>
      </c>
      <c r="I76" s="16" t="s">
        <v>90</v>
      </c>
      <c r="J76" s="16" t="s">
        <v>153</v>
      </c>
    </row>
    <row r="77" spans="1:10" ht="30" x14ac:dyDescent="0.2">
      <c r="A77" s="32" t="s">
        <v>300</v>
      </c>
      <c r="B77" s="25" t="s">
        <v>301</v>
      </c>
      <c r="C77" s="25" t="s">
        <v>39</v>
      </c>
      <c r="D77" s="25" t="s">
        <v>59</v>
      </c>
      <c r="E77" s="25" t="s">
        <v>63</v>
      </c>
      <c r="F77" s="25" t="s">
        <v>101</v>
      </c>
      <c r="G77" s="13">
        <v>1290</v>
      </c>
      <c r="H77" s="15">
        <v>200</v>
      </c>
      <c r="I77" s="13" t="s">
        <v>90</v>
      </c>
      <c r="J77" s="13" t="s">
        <v>153</v>
      </c>
    </row>
    <row r="78" spans="1:10" ht="30" x14ac:dyDescent="0.2">
      <c r="A78" s="33" t="s">
        <v>302</v>
      </c>
      <c r="B78" s="29" t="s">
        <v>303</v>
      </c>
      <c r="C78" s="29" t="s">
        <v>37</v>
      </c>
      <c r="D78" s="29" t="s">
        <v>59</v>
      </c>
      <c r="E78" s="29" t="s">
        <v>63</v>
      </c>
      <c r="F78" s="29" t="s">
        <v>101</v>
      </c>
      <c r="G78" s="16">
        <v>1310</v>
      </c>
      <c r="H78" s="18">
        <v>20</v>
      </c>
      <c r="I78" s="16" t="s">
        <v>90</v>
      </c>
      <c r="J78" s="16" t="s">
        <v>153</v>
      </c>
    </row>
    <row r="79" spans="1:10" ht="30" x14ac:dyDescent="0.2">
      <c r="A79" s="32" t="s">
        <v>304</v>
      </c>
      <c r="B79" s="25" t="s">
        <v>305</v>
      </c>
      <c r="C79" s="25" t="s">
        <v>37</v>
      </c>
      <c r="D79" s="25" t="s">
        <v>59</v>
      </c>
      <c r="E79" s="25" t="s">
        <v>65</v>
      </c>
      <c r="F79" s="25" t="s">
        <v>102</v>
      </c>
      <c r="G79" s="13">
        <v>1270</v>
      </c>
      <c r="H79" s="15">
        <v>20</v>
      </c>
      <c r="I79" s="13" t="s">
        <v>86</v>
      </c>
      <c r="J79" s="13" t="s">
        <v>153</v>
      </c>
    </row>
    <row r="80" spans="1:10" ht="30" x14ac:dyDescent="0.2">
      <c r="A80" s="33" t="s">
        <v>306</v>
      </c>
      <c r="B80" s="29" t="s">
        <v>307</v>
      </c>
      <c r="C80" s="29" t="s">
        <v>37</v>
      </c>
      <c r="D80" s="29" t="s">
        <v>59</v>
      </c>
      <c r="E80" s="29" t="s">
        <v>65</v>
      </c>
      <c r="F80" s="29" t="s">
        <v>102</v>
      </c>
      <c r="G80" s="16">
        <v>1290</v>
      </c>
      <c r="H80" s="18">
        <v>20</v>
      </c>
      <c r="I80" s="16" t="s">
        <v>86</v>
      </c>
      <c r="J80" s="16" t="s">
        <v>153</v>
      </c>
    </row>
    <row r="81" spans="1:10" ht="30" x14ac:dyDescent="0.2">
      <c r="A81" s="32" t="s">
        <v>308</v>
      </c>
      <c r="B81" s="25" t="s">
        <v>309</v>
      </c>
      <c r="C81" s="25" t="s">
        <v>40</v>
      </c>
      <c r="D81" s="25" t="s">
        <v>59</v>
      </c>
      <c r="E81" s="25" t="s">
        <v>65</v>
      </c>
      <c r="F81" s="25" t="s">
        <v>102</v>
      </c>
      <c r="G81" s="13">
        <v>1310</v>
      </c>
      <c r="H81" s="15">
        <v>1024</v>
      </c>
      <c r="I81" s="13" t="s">
        <v>86</v>
      </c>
      <c r="J81" s="13" t="s">
        <v>153</v>
      </c>
    </row>
    <row r="82" spans="1:10" ht="30" x14ac:dyDescent="0.2">
      <c r="A82" s="33" t="s">
        <v>310</v>
      </c>
      <c r="B82" s="29" t="s">
        <v>311</v>
      </c>
      <c r="C82" s="29" t="s">
        <v>37</v>
      </c>
      <c r="D82" s="29" t="s">
        <v>59</v>
      </c>
      <c r="E82" s="29" t="s">
        <v>65</v>
      </c>
      <c r="F82" s="29" t="s">
        <v>102</v>
      </c>
      <c r="G82" s="16">
        <v>1330</v>
      </c>
      <c r="H82" s="18">
        <v>20</v>
      </c>
      <c r="I82" s="16" t="s">
        <v>86</v>
      </c>
      <c r="J82" s="16" t="s">
        <v>153</v>
      </c>
    </row>
    <row r="83" spans="1:10" ht="30" x14ac:dyDescent="0.2">
      <c r="A83" s="32" t="s">
        <v>312</v>
      </c>
      <c r="B83" s="25" t="s">
        <v>313</v>
      </c>
      <c r="C83" s="25" t="s">
        <v>39</v>
      </c>
      <c r="D83" s="25" t="s">
        <v>59</v>
      </c>
      <c r="E83" s="25" t="s">
        <v>65</v>
      </c>
      <c r="F83" s="25" t="s">
        <v>102</v>
      </c>
      <c r="G83" s="13">
        <v>1350</v>
      </c>
      <c r="H83" s="15">
        <v>200</v>
      </c>
      <c r="I83" s="13" t="s">
        <v>86</v>
      </c>
      <c r="J83" s="13" t="s">
        <v>153</v>
      </c>
    </row>
    <row r="84" spans="1:10" ht="30" x14ac:dyDescent="0.2">
      <c r="A84" s="33" t="s">
        <v>314</v>
      </c>
      <c r="B84" s="29" t="s">
        <v>315</v>
      </c>
      <c r="C84" s="29" t="s">
        <v>39</v>
      </c>
      <c r="D84" s="29" t="s">
        <v>59</v>
      </c>
      <c r="E84" s="29" t="s">
        <v>65</v>
      </c>
      <c r="F84" s="29" t="s">
        <v>102</v>
      </c>
      <c r="G84" s="16">
        <v>1370</v>
      </c>
      <c r="H84" s="18">
        <v>200</v>
      </c>
      <c r="I84" s="16" t="s">
        <v>86</v>
      </c>
      <c r="J84" s="16" t="s">
        <v>153</v>
      </c>
    </row>
    <row r="85" spans="1:10" ht="30" x14ac:dyDescent="0.2">
      <c r="A85" s="32" t="s">
        <v>316</v>
      </c>
      <c r="B85" s="25" t="s">
        <v>317</v>
      </c>
      <c r="C85" s="25" t="s">
        <v>37</v>
      </c>
      <c r="D85" s="25" t="s">
        <v>59</v>
      </c>
      <c r="E85" s="25" t="s">
        <v>65</v>
      </c>
      <c r="F85" s="25" t="s">
        <v>102</v>
      </c>
      <c r="G85" s="13">
        <v>1390</v>
      </c>
      <c r="H85" s="15">
        <v>20</v>
      </c>
      <c r="I85" s="13" t="s">
        <v>86</v>
      </c>
      <c r="J85" s="13" t="s">
        <v>153</v>
      </c>
    </row>
    <row r="86" spans="1:10" ht="30" x14ac:dyDescent="0.2">
      <c r="A86" s="33" t="s">
        <v>318</v>
      </c>
      <c r="B86" s="29" t="s">
        <v>319</v>
      </c>
      <c r="C86" s="29" t="s">
        <v>38</v>
      </c>
      <c r="D86" s="29" t="s">
        <v>59</v>
      </c>
      <c r="E86" s="29" t="s">
        <v>65</v>
      </c>
      <c r="F86" s="29" t="s">
        <v>102</v>
      </c>
      <c r="G86" s="16">
        <v>1410</v>
      </c>
      <c r="H86" s="18">
        <v>100</v>
      </c>
      <c r="I86" s="16" t="s">
        <v>86</v>
      </c>
      <c r="J86" s="16" t="s">
        <v>153</v>
      </c>
    </row>
    <row r="87" spans="1:10" ht="30" x14ac:dyDescent="0.2">
      <c r="A87" s="32" t="s">
        <v>320</v>
      </c>
      <c r="B87" s="25" t="s">
        <v>321</v>
      </c>
      <c r="C87" s="25" t="s">
        <v>38</v>
      </c>
      <c r="D87" s="25" t="s">
        <v>59</v>
      </c>
      <c r="E87" s="25" t="s">
        <v>65</v>
      </c>
      <c r="F87" s="25" t="s">
        <v>102</v>
      </c>
      <c r="G87" s="13">
        <v>1430</v>
      </c>
      <c r="H87" s="15">
        <v>100</v>
      </c>
      <c r="I87" s="13" t="s">
        <v>86</v>
      </c>
      <c r="J87" s="13" t="s">
        <v>153</v>
      </c>
    </row>
    <row r="88" spans="1:10" ht="30" x14ac:dyDescent="0.2">
      <c r="A88" s="33" t="s">
        <v>322</v>
      </c>
      <c r="B88" s="29" t="s">
        <v>323</v>
      </c>
      <c r="C88" s="29" t="s">
        <v>38</v>
      </c>
      <c r="D88" s="29" t="s">
        <v>59</v>
      </c>
      <c r="E88" s="29" t="s">
        <v>65</v>
      </c>
      <c r="F88" s="29" t="s">
        <v>103</v>
      </c>
      <c r="G88" s="16">
        <v>1270</v>
      </c>
      <c r="H88" s="18">
        <v>100</v>
      </c>
      <c r="I88" s="16" t="s">
        <v>88</v>
      </c>
      <c r="J88" s="16" t="s">
        <v>153</v>
      </c>
    </row>
    <row r="89" spans="1:10" ht="30" x14ac:dyDescent="0.2">
      <c r="A89" s="32" t="s">
        <v>324</v>
      </c>
      <c r="B89" s="25" t="s">
        <v>325</v>
      </c>
      <c r="C89" s="25" t="s">
        <v>37</v>
      </c>
      <c r="D89" s="25" t="s">
        <v>59</v>
      </c>
      <c r="E89" s="25" t="s">
        <v>65</v>
      </c>
      <c r="F89" s="25" t="s">
        <v>103</v>
      </c>
      <c r="G89" s="13">
        <v>1290</v>
      </c>
      <c r="H89" s="15">
        <v>20</v>
      </c>
      <c r="I89" s="13" t="s">
        <v>88</v>
      </c>
      <c r="J89" s="13" t="s">
        <v>153</v>
      </c>
    </row>
    <row r="90" spans="1:10" ht="30" x14ac:dyDescent="0.2">
      <c r="A90" s="33" t="s">
        <v>326</v>
      </c>
      <c r="B90" s="29" t="s">
        <v>327</v>
      </c>
      <c r="C90" s="29" t="s">
        <v>37</v>
      </c>
      <c r="D90" s="29" t="s">
        <v>59</v>
      </c>
      <c r="E90" s="29" t="s">
        <v>65</v>
      </c>
      <c r="F90" s="29" t="s">
        <v>103</v>
      </c>
      <c r="G90" s="16">
        <v>1310</v>
      </c>
      <c r="H90" s="18">
        <v>20</v>
      </c>
      <c r="I90" s="16" t="s">
        <v>88</v>
      </c>
      <c r="J90" s="16" t="s">
        <v>153</v>
      </c>
    </row>
    <row r="91" spans="1:10" ht="30" x14ac:dyDescent="0.2">
      <c r="A91" s="32" t="s">
        <v>328</v>
      </c>
      <c r="B91" s="25" t="s">
        <v>329</v>
      </c>
      <c r="C91" s="25" t="s">
        <v>38</v>
      </c>
      <c r="D91" s="25" t="s">
        <v>59</v>
      </c>
      <c r="E91" s="25" t="s">
        <v>65</v>
      </c>
      <c r="F91" s="25" t="s">
        <v>103</v>
      </c>
      <c r="G91" s="13">
        <v>1330</v>
      </c>
      <c r="H91" s="15">
        <v>100</v>
      </c>
      <c r="I91" s="13" t="s">
        <v>88</v>
      </c>
      <c r="J91" s="13" t="s">
        <v>153</v>
      </c>
    </row>
    <row r="92" spans="1:10" ht="30" x14ac:dyDescent="0.2">
      <c r="A92" s="33" t="s">
        <v>330</v>
      </c>
      <c r="B92" s="29" t="s">
        <v>331</v>
      </c>
      <c r="C92" s="29" t="s">
        <v>37</v>
      </c>
      <c r="D92" s="29" t="s">
        <v>59</v>
      </c>
      <c r="E92" s="29" t="s">
        <v>65</v>
      </c>
      <c r="F92" s="29" t="s">
        <v>103</v>
      </c>
      <c r="G92" s="16">
        <v>1350</v>
      </c>
      <c r="H92" s="18">
        <v>20</v>
      </c>
      <c r="I92" s="16" t="s">
        <v>88</v>
      </c>
      <c r="J92" s="16" t="s">
        <v>153</v>
      </c>
    </row>
    <row r="93" spans="1:10" ht="30" x14ac:dyDescent="0.2">
      <c r="A93" s="32" t="s">
        <v>332</v>
      </c>
      <c r="B93" s="25" t="s">
        <v>333</v>
      </c>
      <c r="C93" s="25" t="s">
        <v>38</v>
      </c>
      <c r="D93" s="25" t="s">
        <v>59</v>
      </c>
      <c r="E93" s="25" t="s">
        <v>65</v>
      </c>
      <c r="F93" s="25" t="s">
        <v>103</v>
      </c>
      <c r="G93" s="13">
        <v>1370</v>
      </c>
      <c r="H93" s="15">
        <v>100</v>
      </c>
      <c r="I93" s="13" t="s">
        <v>88</v>
      </c>
      <c r="J93" s="13" t="s">
        <v>153</v>
      </c>
    </row>
    <row r="94" spans="1:10" ht="30" x14ac:dyDescent="0.2">
      <c r="A94" s="33" t="s">
        <v>334</v>
      </c>
      <c r="B94" s="29" t="s">
        <v>335</v>
      </c>
      <c r="C94" s="29" t="s">
        <v>37</v>
      </c>
      <c r="D94" s="29" t="s">
        <v>59</v>
      </c>
      <c r="E94" s="29" t="s">
        <v>65</v>
      </c>
      <c r="F94" s="29" t="s">
        <v>103</v>
      </c>
      <c r="G94" s="16">
        <v>1390</v>
      </c>
      <c r="H94" s="18">
        <v>20</v>
      </c>
      <c r="I94" s="16" t="s">
        <v>88</v>
      </c>
      <c r="J94" s="16" t="s">
        <v>153</v>
      </c>
    </row>
    <row r="95" spans="1:10" ht="30" x14ac:dyDescent="0.2">
      <c r="A95" s="32" t="s">
        <v>336</v>
      </c>
      <c r="B95" s="25" t="s">
        <v>337</v>
      </c>
      <c r="C95" s="25" t="s">
        <v>38</v>
      </c>
      <c r="D95" s="25" t="s">
        <v>59</v>
      </c>
      <c r="E95" s="25" t="s">
        <v>65</v>
      </c>
      <c r="F95" s="25" t="s">
        <v>104</v>
      </c>
      <c r="G95" s="13">
        <v>1270</v>
      </c>
      <c r="H95" s="15">
        <v>100</v>
      </c>
      <c r="I95" s="13" t="s">
        <v>90</v>
      </c>
      <c r="J95" s="13" t="s">
        <v>153</v>
      </c>
    </row>
    <row r="96" spans="1:10" ht="30" x14ac:dyDescent="0.2">
      <c r="A96" s="33" t="s">
        <v>338</v>
      </c>
      <c r="B96" s="29" t="s">
        <v>339</v>
      </c>
      <c r="C96" s="29" t="s">
        <v>37</v>
      </c>
      <c r="D96" s="29" t="s">
        <v>59</v>
      </c>
      <c r="E96" s="29" t="s">
        <v>65</v>
      </c>
      <c r="F96" s="29" t="s">
        <v>104</v>
      </c>
      <c r="G96" s="16">
        <v>1290</v>
      </c>
      <c r="H96" s="18">
        <v>20</v>
      </c>
      <c r="I96" s="16" t="s">
        <v>90</v>
      </c>
      <c r="J96" s="16" t="s">
        <v>153</v>
      </c>
    </row>
    <row r="97" spans="1:10" ht="30" x14ac:dyDescent="0.2">
      <c r="A97" s="32" t="s">
        <v>340</v>
      </c>
      <c r="B97" s="25" t="s">
        <v>341</v>
      </c>
      <c r="C97" s="25" t="s">
        <v>37</v>
      </c>
      <c r="D97" s="25" t="s">
        <v>59</v>
      </c>
      <c r="E97" s="25" t="s">
        <v>65</v>
      </c>
      <c r="F97" s="25" t="s">
        <v>104</v>
      </c>
      <c r="G97" s="13">
        <v>1310</v>
      </c>
      <c r="H97" s="15">
        <v>20</v>
      </c>
      <c r="I97" s="13" t="s">
        <v>90</v>
      </c>
      <c r="J97" s="13" t="s">
        <v>153</v>
      </c>
    </row>
    <row r="98" spans="1:10" ht="30" x14ac:dyDescent="0.2">
      <c r="A98" s="33" t="s">
        <v>342</v>
      </c>
      <c r="B98" s="29" t="s">
        <v>343</v>
      </c>
      <c r="C98" s="29" t="s">
        <v>38</v>
      </c>
      <c r="D98" s="29" t="s">
        <v>59</v>
      </c>
      <c r="E98" s="29" t="s">
        <v>65</v>
      </c>
      <c r="F98" s="29" t="s">
        <v>104</v>
      </c>
      <c r="G98" s="16">
        <v>1330</v>
      </c>
      <c r="H98" s="18">
        <v>100</v>
      </c>
      <c r="I98" s="16" t="s">
        <v>90</v>
      </c>
      <c r="J98" s="16" t="s">
        <v>153</v>
      </c>
    </row>
    <row r="99" spans="1:10" ht="30" x14ac:dyDescent="0.2">
      <c r="A99" s="32" t="s">
        <v>344</v>
      </c>
      <c r="B99" s="25" t="s">
        <v>345</v>
      </c>
      <c r="C99" s="25" t="s">
        <v>37</v>
      </c>
      <c r="D99" s="25" t="s">
        <v>59</v>
      </c>
      <c r="E99" s="25" t="s">
        <v>65</v>
      </c>
      <c r="F99" s="25" t="s">
        <v>104</v>
      </c>
      <c r="G99" s="13">
        <v>1350</v>
      </c>
      <c r="H99" s="15">
        <v>20</v>
      </c>
      <c r="I99" s="13" t="s">
        <v>90</v>
      </c>
      <c r="J99" s="13" t="s">
        <v>153</v>
      </c>
    </row>
    <row r="100" spans="1:10" x14ac:dyDescent="0.2">
      <c r="A100" s="33" t="s">
        <v>346</v>
      </c>
      <c r="B100" s="29" t="s">
        <v>347</v>
      </c>
      <c r="C100" s="29" t="s">
        <v>37</v>
      </c>
      <c r="D100" s="29" t="s">
        <v>67</v>
      </c>
      <c r="E100" s="29" t="s">
        <v>66</v>
      </c>
      <c r="F100" s="29" t="s">
        <v>105</v>
      </c>
      <c r="G100" s="16">
        <v>1270</v>
      </c>
      <c r="H100" s="18">
        <v>20</v>
      </c>
      <c r="I100" s="16" t="s">
        <v>86</v>
      </c>
      <c r="J100" s="16" t="s">
        <v>153</v>
      </c>
    </row>
    <row r="101" spans="1:10" x14ac:dyDescent="0.2">
      <c r="A101" s="32" t="s">
        <v>348</v>
      </c>
      <c r="B101" s="25" t="s">
        <v>349</v>
      </c>
      <c r="C101" s="25" t="s">
        <v>38</v>
      </c>
      <c r="D101" s="25" t="s">
        <v>67</v>
      </c>
      <c r="E101" s="25" t="s">
        <v>66</v>
      </c>
      <c r="F101" s="25" t="s">
        <v>105</v>
      </c>
      <c r="G101" s="13">
        <v>1290</v>
      </c>
      <c r="H101" s="15">
        <v>100</v>
      </c>
      <c r="I101" s="13" t="s">
        <v>86</v>
      </c>
      <c r="J101" s="13" t="s">
        <v>153</v>
      </c>
    </row>
    <row r="102" spans="1:10" x14ac:dyDescent="0.2">
      <c r="A102" s="33" t="s">
        <v>350</v>
      </c>
      <c r="B102" s="29" t="s">
        <v>351</v>
      </c>
      <c r="C102" s="29" t="s">
        <v>38</v>
      </c>
      <c r="D102" s="29" t="s">
        <v>67</v>
      </c>
      <c r="E102" s="29" t="s">
        <v>66</v>
      </c>
      <c r="F102" s="29" t="s">
        <v>105</v>
      </c>
      <c r="G102" s="16">
        <v>1310</v>
      </c>
      <c r="H102" s="18">
        <v>100</v>
      </c>
      <c r="I102" s="16" t="s">
        <v>86</v>
      </c>
      <c r="J102" s="16" t="s">
        <v>153</v>
      </c>
    </row>
    <row r="103" spans="1:10" x14ac:dyDescent="0.2">
      <c r="A103" s="32" t="s">
        <v>352</v>
      </c>
      <c r="B103" s="25" t="s">
        <v>353</v>
      </c>
      <c r="C103" s="25" t="s">
        <v>37</v>
      </c>
      <c r="D103" s="25" t="s">
        <v>67</v>
      </c>
      <c r="E103" s="25" t="s">
        <v>66</v>
      </c>
      <c r="F103" s="25" t="s">
        <v>105</v>
      </c>
      <c r="G103" s="13">
        <v>1330</v>
      </c>
      <c r="H103" s="15">
        <v>20</v>
      </c>
      <c r="I103" s="13" t="s">
        <v>86</v>
      </c>
      <c r="J103" s="13" t="s">
        <v>153</v>
      </c>
    </row>
    <row r="104" spans="1:10" x14ac:dyDescent="0.2">
      <c r="A104" s="33" t="s">
        <v>354</v>
      </c>
      <c r="B104" s="29" t="s">
        <v>355</v>
      </c>
      <c r="C104" s="29" t="s">
        <v>37</v>
      </c>
      <c r="D104" s="29" t="s">
        <v>67</v>
      </c>
      <c r="E104" s="29" t="s">
        <v>66</v>
      </c>
      <c r="F104" s="29" t="s">
        <v>105</v>
      </c>
      <c r="G104" s="16">
        <v>1350</v>
      </c>
      <c r="H104" s="18">
        <v>20</v>
      </c>
      <c r="I104" s="16" t="s">
        <v>86</v>
      </c>
      <c r="J104" s="16" t="s">
        <v>153</v>
      </c>
    </row>
    <row r="105" spans="1:10" x14ac:dyDescent="0.2">
      <c r="A105" s="32" t="s">
        <v>356</v>
      </c>
      <c r="B105" s="25" t="s">
        <v>357</v>
      </c>
      <c r="C105" s="25" t="s">
        <v>37</v>
      </c>
      <c r="D105" s="25" t="s">
        <v>67</v>
      </c>
      <c r="E105" s="25" t="s">
        <v>66</v>
      </c>
      <c r="F105" s="25" t="s">
        <v>106</v>
      </c>
      <c r="G105" s="13">
        <v>1270</v>
      </c>
      <c r="H105" s="15">
        <v>20</v>
      </c>
      <c r="I105" s="13" t="s">
        <v>88</v>
      </c>
      <c r="J105" s="13" t="s">
        <v>153</v>
      </c>
    </row>
    <row r="106" spans="1:10" x14ac:dyDescent="0.2">
      <c r="A106" s="33" t="s">
        <v>358</v>
      </c>
      <c r="B106" s="29" t="s">
        <v>359</v>
      </c>
      <c r="C106" s="29" t="s">
        <v>38</v>
      </c>
      <c r="D106" s="29" t="s">
        <v>67</v>
      </c>
      <c r="E106" s="29" t="s">
        <v>66</v>
      </c>
      <c r="F106" s="29" t="s">
        <v>106</v>
      </c>
      <c r="G106" s="16">
        <v>1290</v>
      </c>
      <c r="H106" s="18">
        <v>100</v>
      </c>
      <c r="I106" s="16" t="s">
        <v>88</v>
      </c>
      <c r="J106" s="16" t="s">
        <v>153</v>
      </c>
    </row>
    <row r="107" spans="1:10" x14ac:dyDescent="0.2">
      <c r="A107" s="32" t="s">
        <v>360</v>
      </c>
      <c r="B107" s="25" t="s">
        <v>361</v>
      </c>
      <c r="C107" s="25" t="s">
        <v>40</v>
      </c>
      <c r="D107" s="25" t="s">
        <v>67</v>
      </c>
      <c r="E107" s="25" t="s">
        <v>66</v>
      </c>
      <c r="F107" s="25" t="s">
        <v>106</v>
      </c>
      <c r="G107" s="13">
        <v>1310</v>
      </c>
      <c r="H107" s="15">
        <v>1024</v>
      </c>
      <c r="I107" s="13" t="s">
        <v>88</v>
      </c>
      <c r="J107" s="13" t="s">
        <v>153</v>
      </c>
    </row>
    <row r="108" spans="1:10" x14ac:dyDescent="0.2">
      <c r="A108" s="33" t="s">
        <v>362</v>
      </c>
      <c r="B108" s="29" t="s">
        <v>363</v>
      </c>
      <c r="C108" s="29" t="s">
        <v>37</v>
      </c>
      <c r="D108" s="29" t="s">
        <v>67</v>
      </c>
      <c r="E108" s="29" t="s">
        <v>66</v>
      </c>
      <c r="F108" s="29" t="s">
        <v>106</v>
      </c>
      <c r="G108" s="16">
        <v>1330</v>
      </c>
      <c r="H108" s="18">
        <v>20</v>
      </c>
      <c r="I108" s="16" t="s">
        <v>88</v>
      </c>
      <c r="J108" s="16" t="s">
        <v>153</v>
      </c>
    </row>
    <row r="109" spans="1:10" x14ac:dyDescent="0.2">
      <c r="A109" s="32" t="s">
        <v>364</v>
      </c>
      <c r="B109" s="25" t="s">
        <v>365</v>
      </c>
      <c r="C109" s="25" t="s">
        <v>39</v>
      </c>
      <c r="D109" s="25" t="s">
        <v>67</v>
      </c>
      <c r="E109" s="25" t="s">
        <v>66</v>
      </c>
      <c r="F109" s="25" t="s">
        <v>107</v>
      </c>
      <c r="G109" s="13">
        <v>1270</v>
      </c>
      <c r="H109" s="15">
        <v>200</v>
      </c>
      <c r="I109" s="13" t="s">
        <v>90</v>
      </c>
      <c r="J109" s="13" t="s">
        <v>153</v>
      </c>
    </row>
    <row r="110" spans="1:10" x14ac:dyDescent="0.2">
      <c r="A110" s="33" t="s">
        <v>366</v>
      </c>
      <c r="B110" s="29" t="s">
        <v>367</v>
      </c>
      <c r="C110" s="29" t="s">
        <v>39</v>
      </c>
      <c r="D110" s="29" t="s">
        <v>67</v>
      </c>
      <c r="E110" s="29" t="s">
        <v>66</v>
      </c>
      <c r="F110" s="29" t="s">
        <v>107</v>
      </c>
      <c r="G110" s="16">
        <v>1290</v>
      </c>
      <c r="H110" s="18">
        <v>200</v>
      </c>
      <c r="I110" s="16" t="s">
        <v>90</v>
      </c>
      <c r="J110" s="16" t="s">
        <v>153</v>
      </c>
    </row>
    <row r="111" spans="1:10" x14ac:dyDescent="0.2">
      <c r="A111" s="32" t="s">
        <v>368</v>
      </c>
      <c r="B111" s="25" t="s">
        <v>369</v>
      </c>
      <c r="C111" s="25" t="s">
        <v>40</v>
      </c>
      <c r="D111" s="25" t="s">
        <v>67</v>
      </c>
      <c r="E111" s="25" t="s">
        <v>66</v>
      </c>
      <c r="F111" s="25" t="s">
        <v>107</v>
      </c>
      <c r="G111" s="13">
        <v>1310</v>
      </c>
      <c r="H111" s="15">
        <v>1024</v>
      </c>
      <c r="I111" s="13" t="s">
        <v>90</v>
      </c>
      <c r="J111" s="13" t="s">
        <v>153</v>
      </c>
    </row>
    <row r="112" spans="1:10" x14ac:dyDescent="0.2">
      <c r="A112" s="33" t="s">
        <v>370</v>
      </c>
      <c r="B112" s="29" t="s">
        <v>371</v>
      </c>
      <c r="C112" s="29" t="s">
        <v>37</v>
      </c>
      <c r="D112" s="29" t="s">
        <v>67</v>
      </c>
      <c r="E112" s="29" t="s">
        <v>69</v>
      </c>
      <c r="F112" s="29" t="s">
        <v>108</v>
      </c>
      <c r="G112" s="16">
        <v>1270</v>
      </c>
      <c r="H112" s="18">
        <v>20</v>
      </c>
      <c r="I112" s="16" t="s">
        <v>86</v>
      </c>
      <c r="J112" s="16" t="s">
        <v>153</v>
      </c>
    </row>
    <row r="113" spans="1:10" x14ac:dyDescent="0.2">
      <c r="A113" s="32" t="s">
        <v>372</v>
      </c>
      <c r="B113" s="25" t="s">
        <v>373</v>
      </c>
      <c r="C113" s="25" t="s">
        <v>37</v>
      </c>
      <c r="D113" s="25" t="s">
        <v>67</v>
      </c>
      <c r="E113" s="25" t="s">
        <v>69</v>
      </c>
      <c r="F113" s="25" t="s">
        <v>108</v>
      </c>
      <c r="G113" s="13">
        <v>1290</v>
      </c>
      <c r="H113" s="15">
        <v>20</v>
      </c>
      <c r="I113" s="13" t="s">
        <v>86</v>
      </c>
      <c r="J113" s="13" t="s">
        <v>153</v>
      </c>
    </row>
    <row r="114" spans="1:10" x14ac:dyDescent="0.2">
      <c r="A114" s="33" t="s">
        <v>374</v>
      </c>
      <c r="B114" s="29" t="s">
        <v>375</v>
      </c>
      <c r="C114" s="29" t="s">
        <v>37</v>
      </c>
      <c r="D114" s="29" t="s">
        <v>67</v>
      </c>
      <c r="E114" s="29" t="s">
        <v>69</v>
      </c>
      <c r="F114" s="29" t="s">
        <v>108</v>
      </c>
      <c r="G114" s="16">
        <v>1310</v>
      </c>
      <c r="H114" s="18">
        <v>20</v>
      </c>
      <c r="I114" s="16" t="s">
        <v>86</v>
      </c>
      <c r="J114" s="16" t="s">
        <v>153</v>
      </c>
    </row>
    <row r="115" spans="1:10" x14ac:dyDescent="0.2">
      <c r="A115" s="32" t="s">
        <v>376</v>
      </c>
      <c r="B115" s="25" t="s">
        <v>377</v>
      </c>
      <c r="C115" s="25" t="s">
        <v>38</v>
      </c>
      <c r="D115" s="25" t="s">
        <v>67</v>
      </c>
      <c r="E115" s="25" t="s">
        <v>69</v>
      </c>
      <c r="F115" s="25" t="s">
        <v>108</v>
      </c>
      <c r="G115" s="13">
        <v>1330</v>
      </c>
      <c r="H115" s="15">
        <v>100</v>
      </c>
      <c r="I115" s="13" t="s">
        <v>86</v>
      </c>
      <c r="J115" s="13" t="s">
        <v>153</v>
      </c>
    </row>
    <row r="116" spans="1:10" x14ac:dyDescent="0.2">
      <c r="A116" s="33" t="s">
        <v>378</v>
      </c>
      <c r="B116" s="29" t="s">
        <v>379</v>
      </c>
      <c r="C116" s="29" t="s">
        <v>37</v>
      </c>
      <c r="D116" s="29" t="s">
        <v>67</v>
      </c>
      <c r="E116" s="29" t="s">
        <v>69</v>
      </c>
      <c r="F116" s="29" t="s">
        <v>108</v>
      </c>
      <c r="G116" s="16">
        <v>1350</v>
      </c>
      <c r="H116" s="18">
        <v>20</v>
      </c>
      <c r="I116" s="16" t="s">
        <v>86</v>
      </c>
      <c r="J116" s="16" t="s">
        <v>153</v>
      </c>
    </row>
    <row r="117" spans="1:10" x14ac:dyDescent="0.2">
      <c r="A117" s="32" t="s">
        <v>380</v>
      </c>
      <c r="B117" s="25" t="s">
        <v>381</v>
      </c>
      <c r="C117" s="25" t="s">
        <v>37</v>
      </c>
      <c r="D117" s="25" t="s">
        <v>67</v>
      </c>
      <c r="E117" s="25" t="s">
        <v>69</v>
      </c>
      <c r="F117" s="25" t="s">
        <v>108</v>
      </c>
      <c r="G117" s="13">
        <v>1370</v>
      </c>
      <c r="H117" s="15">
        <v>20</v>
      </c>
      <c r="I117" s="13" t="s">
        <v>86</v>
      </c>
      <c r="J117" s="13" t="s">
        <v>153</v>
      </c>
    </row>
    <row r="118" spans="1:10" x14ac:dyDescent="0.2">
      <c r="A118" s="33" t="s">
        <v>382</v>
      </c>
      <c r="B118" s="29" t="s">
        <v>383</v>
      </c>
      <c r="C118" s="29" t="s">
        <v>38</v>
      </c>
      <c r="D118" s="29" t="s">
        <v>67</v>
      </c>
      <c r="E118" s="29" t="s">
        <v>69</v>
      </c>
      <c r="F118" s="29" t="s">
        <v>108</v>
      </c>
      <c r="G118" s="16">
        <v>1390</v>
      </c>
      <c r="H118" s="18">
        <v>100</v>
      </c>
      <c r="I118" s="16" t="s">
        <v>86</v>
      </c>
      <c r="J118" s="16" t="s">
        <v>153</v>
      </c>
    </row>
    <row r="119" spans="1:10" x14ac:dyDescent="0.2">
      <c r="A119" s="32" t="s">
        <v>384</v>
      </c>
      <c r="B119" s="25" t="s">
        <v>385</v>
      </c>
      <c r="C119" s="25" t="s">
        <v>38</v>
      </c>
      <c r="D119" s="25" t="s">
        <v>67</v>
      </c>
      <c r="E119" s="25" t="s">
        <v>69</v>
      </c>
      <c r="F119" s="25" t="s">
        <v>108</v>
      </c>
      <c r="G119" s="13">
        <v>1410</v>
      </c>
      <c r="H119" s="15">
        <v>100</v>
      </c>
      <c r="I119" s="13" t="s">
        <v>86</v>
      </c>
      <c r="J119" s="13" t="s">
        <v>153</v>
      </c>
    </row>
    <row r="120" spans="1:10" x14ac:dyDescent="0.2">
      <c r="A120" s="33" t="s">
        <v>386</v>
      </c>
      <c r="B120" s="29" t="s">
        <v>387</v>
      </c>
      <c r="C120" s="29" t="s">
        <v>37</v>
      </c>
      <c r="D120" s="29" t="s">
        <v>67</v>
      </c>
      <c r="E120" s="29" t="s">
        <v>69</v>
      </c>
      <c r="F120" s="29" t="s">
        <v>108</v>
      </c>
      <c r="G120" s="16">
        <v>1430</v>
      </c>
      <c r="H120" s="18">
        <v>20</v>
      </c>
      <c r="I120" s="16" t="s">
        <v>86</v>
      </c>
      <c r="J120" s="16" t="s">
        <v>153</v>
      </c>
    </row>
    <row r="121" spans="1:10" x14ac:dyDescent="0.2">
      <c r="A121" s="32" t="s">
        <v>388</v>
      </c>
      <c r="B121" s="25" t="s">
        <v>389</v>
      </c>
      <c r="C121" s="25" t="s">
        <v>39</v>
      </c>
      <c r="D121" s="25" t="s">
        <v>67</v>
      </c>
      <c r="E121" s="25" t="s">
        <v>69</v>
      </c>
      <c r="F121" s="25" t="s">
        <v>109</v>
      </c>
      <c r="G121" s="13">
        <v>1270</v>
      </c>
      <c r="H121" s="15">
        <v>200</v>
      </c>
      <c r="I121" s="13" t="s">
        <v>88</v>
      </c>
      <c r="J121" s="13" t="s">
        <v>153</v>
      </c>
    </row>
    <row r="122" spans="1:10" x14ac:dyDescent="0.2">
      <c r="A122" s="33" t="s">
        <v>390</v>
      </c>
      <c r="B122" s="29" t="s">
        <v>391</v>
      </c>
      <c r="C122" s="29" t="s">
        <v>39</v>
      </c>
      <c r="D122" s="29" t="s">
        <v>67</v>
      </c>
      <c r="E122" s="29" t="s">
        <v>69</v>
      </c>
      <c r="F122" s="29" t="s">
        <v>109</v>
      </c>
      <c r="G122" s="16">
        <v>1290</v>
      </c>
      <c r="H122" s="18">
        <v>200</v>
      </c>
      <c r="I122" s="16" t="s">
        <v>88</v>
      </c>
      <c r="J122" s="16" t="s">
        <v>153</v>
      </c>
    </row>
    <row r="123" spans="1:10" x14ac:dyDescent="0.2">
      <c r="A123" s="32" t="s">
        <v>392</v>
      </c>
      <c r="B123" s="25" t="s">
        <v>393</v>
      </c>
      <c r="C123" s="25" t="s">
        <v>39</v>
      </c>
      <c r="D123" s="25" t="s">
        <v>67</v>
      </c>
      <c r="E123" s="25" t="s">
        <v>69</v>
      </c>
      <c r="F123" s="25" t="s">
        <v>109</v>
      </c>
      <c r="G123" s="13">
        <v>1310</v>
      </c>
      <c r="H123" s="15">
        <v>200</v>
      </c>
      <c r="I123" s="13" t="s">
        <v>88</v>
      </c>
      <c r="J123" s="13" t="s">
        <v>153</v>
      </c>
    </row>
    <row r="124" spans="1:10" x14ac:dyDescent="0.2">
      <c r="A124" s="33" t="s">
        <v>394</v>
      </c>
      <c r="B124" s="29" t="s">
        <v>395</v>
      </c>
      <c r="C124" s="29" t="s">
        <v>40</v>
      </c>
      <c r="D124" s="29" t="s">
        <v>67</v>
      </c>
      <c r="E124" s="29" t="s">
        <v>69</v>
      </c>
      <c r="F124" s="29" t="s">
        <v>109</v>
      </c>
      <c r="G124" s="16">
        <v>1330</v>
      </c>
      <c r="H124" s="18">
        <v>1024</v>
      </c>
      <c r="I124" s="16" t="s">
        <v>88</v>
      </c>
      <c r="J124" s="16" t="s">
        <v>153</v>
      </c>
    </row>
    <row r="125" spans="1:10" x14ac:dyDescent="0.2">
      <c r="A125" s="32" t="s">
        <v>396</v>
      </c>
      <c r="B125" s="25" t="s">
        <v>397</v>
      </c>
      <c r="C125" s="25" t="s">
        <v>40</v>
      </c>
      <c r="D125" s="25" t="s">
        <v>67</v>
      </c>
      <c r="E125" s="25" t="s">
        <v>69</v>
      </c>
      <c r="F125" s="25" t="s">
        <v>109</v>
      </c>
      <c r="G125" s="13">
        <v>1350</v>
      </c>
      <c r="H125" s="15">
        <v>1024</v>
      </c>
      <c r="I125" s="13" t="s">
        <v>88</v>
      </c>
      <c r="J125" s="13" t="s">
        <v>153</v>
      </c>
    </row>
    <row r="126" spans="1:10" x14ac:dyDescent="0.2">
      <c r="A126" s="33" t="s">
        <v>398</v>
      </c>
      <c r="B126" s="29" t="s">
        <v>399</v>
      </c>
      <c r="C126" s="29" t="s">
        <v>37</v>
      </c>
      <c r="D126" s="29" t="s">
        <v>67</v>
      </c>
      <c r="E126" s="29" t="s">
        <v>69</v>
      </c>
      <c r="F126" s="29" t="s">
        <v>109</v>
      </c>
      <c r="G126" s="16">
        <v>1370</v>
      </c>
      <c r="H126" s="18">
        <v>20</v>
      </c>
      <c r="I126" s="16" t="s">
        <v>88</v>
      </c>
      <c r="J126" s="16" t="s">
        <v>153</v>
      </c>
    </row>
    <row r="127" spans="1:10" x14ac:dyDescent="0.2">
      <c r="A127" s="32" t="s">
        <v>400</v>
      </c>
      <c r="B127" s="25" t="s">
        <v>401</v>
      </c>
      <c r="C127" s="25" t="s">
        <v>38</v>
      </c>
      <c r="D127" s="25" t="s">
        <v>71</v>
      </c>
      <c r="E127" s="25" t="s">
        <v>70</v>
      </c>
      <c r="F127" s="25" t="s">
        <v>110</v>
      </c>
      <c r="G127" s="13">
        <v>1270</v>
      </c>
      <c r="H127" s="15">
        <v>100</v>
      </c>
      <c r="I127" s="13" t="s">
        <v>86</v>
      </c>
      <c r="J127" s="13" t="s">
        <v>153</v>
      </c>
    </row>
    <row r="128" spans="1:10" x14ac:dyDescent="0.2">
      <c r="A128" s="33" t="s">
        <v>402</v>
      </c>
      <c r="B128" s="29" t="s">
        <v>403</v>
      </c>
      <c r="C128" s="29" t="s">
        <v>39</v>
      </c>
      <c r="D128" s="29" t="s">
        <v>71</v>
      </c>
      <c r="E128" s="29" t="s">
        <v>70</v>
      </c>
      <c r="F128" s="29" t="s">
        <v>110</v>
      </c>
      <c r="G128" s="16">
        <v>1290</v>
      </c>
      <c r="H128" s="18">
        <v>200</v>
      </c>
      <c r="I128" s="16" t="s">
        <v>86</v>
      </c>
      <c r="J128" s="16" t="s">
        <v>153</v>
      </c>
    </row>
    <row r="129" spans="1:10" x14ac:dyDescent="0.2">
      <c r="A129" s="32" t="s">
        <v>404</v>
      </c>
      <c r="B129" s="25" t="s">
        <v>405</v>
      </c>
      <c r="C129" s="25" t="s">
        <v>37</v>
      </c>
      <c r="D129" s="25" t="s">
        <v>71</v>
      </c>
      <c r="E129" s="25" t="s">
        <v>70</v>
      </c>
      <c r="F129" s="25" t="s">
        <v>110</v>
      </c>
      <c r="G129" s="13">
        <v>1310</v>
      </c>
      <c r="H129" s="15">
        <v>20</v>
      </c>
      <c r="I129" s="13" t="s">
        <v>86</v>
      </c>
      <c r="J129" s="13" t="s">
        <v>153</v>
      </c>
    </row>
    <row r="130" spans="1:10" x14ac:dyDescent="0.2">
      <c r="A130" s="33" t="s">
        <v>406</v>
      </c>
      <c r="B130" s="29" t="s">
        <v>407</v>
      </c>
      <c r="C130" s="29" t="s">
        <v>37</v>
      </c>
      <c r="D130" s="29" t="s">
        <v>71</v>
      </c>
      <c r="E130" s="29" t="s">
        <v>70</v>
      </c>
      <c r="F130" s="29" t="s">
        <v>110</v>
      </c>
      <c r="G130" s="16">
        <v>1330</v>
      </c>
      <c r="H130" s="18">
        <v>20</v>
      </c>
      <c r="I130" s="16" t="s">
        <v>86</v>
      </c>
      <c r="J130" s="16" t="s">
        <v>153</v>
      </c>
    </row>
    <row r="131" spans="1:10" x14ac:dyDescent="0.2">
      <c r="A131" s="32" t="s">
        <v>408</v>
      </c>
      <c r="B131" s="25" t="s">
        <v>409</v>
      </c>
      <c r="C131" s="25" t="s">
        <v>38</v>
      </c>
      <c r="D131" s="25" t="s">
        <v>71</v>
      </c>
      <c r="E131" s="25" t="s">
        <v>70</v>
      </c>
      <c r="F131" s="25" t="s">
        <v>111</v>
      </c>
      <c r="G131" s="13">
        <v>1270</v>
      </c>
      <c r="H131" s="15">
        <v>100</v>
      </c>
      <c r="I131" s="13" t="s">
        <v>88</v>
      </c>
      <c r="J131" s="13" t="s">
        <v>153</v>
      </c>
    </row>
    <row r="132" spans="1:10" x14ac:dyDescent="0.2">
      <c r="A132" s="33" t="s">
        <v>410</v>
      </c>
      <c r="B132" s="29" t="s">
        <v>411</v>
      </c>
      <c r="C132" s="29" t="s">
        <v>38</v>
      </c>
      <c r="D132" s="29" t="s">
        <v>71</v>
      </c>
      <c r="E132" s="29" t="s">
        <v>70</v>
      </c>
      <c r="F132" s="29" t="s">
        <v>111</v>
      </c>
      <c r="G132" s="16">
        <v>1290</v>
      </c>
      <c r="H132" s="18">
        <v>100</v>
      </c>
      <c r="I132" s="16" t="s">
        <v>88</v>
      </c>
      <c r="J132" s="16" t="s">
        <v>153</v>
      </c>
    </row>
    <row r="133" spans="1:10" x14ac:dyDescent="0.2">
      <c r="A133" s="32" t="s">
        <v>412</v>
      </c>
      <c r="B133" s="25" t="s">
        <v>413</v>
      </c>
      <c r="C133" s="25" t="s">
        <v>37</v>
      </c>
      <c r="D133" s="25" t="s">
        <v>71</v>
      </c>
      <c r="E133" s="25" t="s">
        <v>70</v>
      </c>
      <c r="F133" s="25" t="s">
        <v>111</v>
      </c>
      <c r="G133" s="13">
        <v>1310</v>
      </c>
      <c r="H133" s="15">
        <v>20</v>
      </c>
      <c r="I133" s="13" t="s">
        <v>88</v>
      </c>
      <c r="J133" s="13" t="s">
        <v>153</v>
      </c>
    </row>
    <row r="134" spans="1:10" x14ac:dyDescent="0.2">
      <c r="A134" s="33" t="s">
        <v>414</v>
      </c>
      <c r="B134" s="29" t="s">
        <v>415</v>
      </c>
      <c r="C134" s="29" t="s">
        <v>39</v>
      </c>
      <c r="D134" s="29" t="s">
        <v>74</v>
      </c>
      <c r="E134" s="29" t="s">
        <v>73</v>
      </c>
      <c r="F134" s="29" t="s">
        <v>112</v>
      </c>
      <c r="G134" s="16">
        <v>1270</v>
      </c>
      <c r="H134" s="18">
        <v>200</v>
      </c>
      <c r="I134" s="16" t="s">
        <v>86</v>
      </c>
      <c r="J134" s="16" t="s">
        <v>153</v>
      </c>
    </row>
    <row r="135" spans="1:10" x14ac:dyDescent="0.2">
      <c r="A135" s="32" t="s">
        <v>416</v>
      </c>
      <c r="B135" s="25" t="s">
        <v>417</v>
      </c>
      <c r="C135" s="25" t="s">
        <v>37</v>
      </c>
      <c r="D135" s="25" t="s">
        <v>74</v>
      </c>
      <c r="E135" s="25" t="s">
        <v>73</v>
      </c>
      <c r="F135" s="25" t="s">
        <v>112</v>
      </c>
      <c r="G135" s="13">
        <v>1290</v>
      </c>
      <c r="H135" s="15">
        <v>20</v>
      </c>
      <c r="I135" s="13" t="s">
        <v>86</v>
      </c>
      <c r="J135" s="13" t="s">
        <v>153</v>
      </c>
    </row>
    <row r="136" spans="1:10" x14ac:dyDescent="0.2">
      <c r="A136" s="33" t="s">
        <v>418</v>
      </c>
      <c r="B136" s="29" t="s">
        <v>419</v>
      </c>
      <c r="C136" s="29" t="s">
        <v>40</v>
      </c>
      <c r="D136" s="29" t="s">
        <v>74</v>
      </c>
      <c r="E136" s="29" t="s">
        <v>73</v>
      </c>
      <c r="F136" s="29" t="s">
        <v>112</v>
      </c>
      <c r="G136" s="16">
        <v>1310</v>
      </c>
      <c r="H136" s="18">
        <v>1024</v>
      </c>
      <c r="I136" s="16" t="s">
        <v>86</v>
      </c>
      <c r="J136" s="16" t="s">
        <v>153</v>
      </c>
    </row>
    <row r="137" spans="1:10" x14ac:dyDescent="0.2">
      <c r="A137" s="32" t="s">
        <v>420</v>
      </c>
      <c r="B137" s="25" t="s">
        <v>421</v>
      </c>
      <c r="C137" s="25" t="s">
        <v>37</v>
      </c>
      <c r="D137" s="25" t="s">
        <v>74</v>
      </c>
      <c r="E137" s="25" t="s">
        <v>73</v>
      </c>
      <c r="F137" s="25" t="s">
        <v>112</v>
      </c>
      <c r="G137" s="13">
        <v>1330</v>
      </c>
      <c r="H137" s="15">
        <v>20</v>
      </c>
      <c r="I137" s="13" t="s">
        <v>86</v>
      </c>
      <c r="J137" s="13" t="s">
        <v>153</v>
      </c>
    </row>
    <row r="138" spans="1:10" x14ac:dyDescent="0.2">
      <c r="A138" s="33" t="s">
        <v>422</v>
      </c>
      <c r="B138" s="29" t="s">
        <v>423</v>
      </c>
      <c r="C138" s="29" t="s">
        <v>37</v>
      </c>
      <c r="D138" s="29" t="s">
        <v>74</v>
      </c>
      <c r="E138" s="29" t="s">
        <v>73</v>
      </c>
      <c r="F138" s="29" t="s">
        <v>112</v>
      </c>
      <c r="G138" s="16">
        <v>1350</v>
      </c>
      <c r="H138" s="18">
        <v>20</v>
      </c>
      <c r="I138" s="16" t="s">
        <v>86</v>
      </c>
      <c r="J138" s="16" t="s">
        <v>153</v>
      </c>
    </row>
    <row r="139" spans="1:10" x14ac:dyDescent="0.2">
      <c r="A139" s="32" t="s">
        <v>424</v>
      </c>
      <c r="B139" s="25" t="s">
        <v>425</v>
      </c>
      <c r="C139" s="25" t="s">
        <v>37</v>
      </c>
      <c r="D139" s="25" t="s">
        <v>74</v>
      </c>
      <c r="E139" s="25" t="s">
        <v>73</v>
      </c>
      <c r="F139" s="25" t="s">
        <v>112</v>
      </c>
      <c r="G139" s="13">
        <v>1370</v>
      </c>
      <c r="H139" s="15">
        <v>20</v>
      </c>
      <c r="I139" s="13" t="s">
        <v>86</v>
      </c>
      <c r="J139" s="13" t="s">
        <v>153</v>
      </c>
    </row>
    <row r="140" spans="1:10" x14ac:dyDescent="0.2">
      <c r="A140" s="33" t="s">
        <v>426</v>
      </c>
      <c r="B140" s="29" t="s">
        <v>427</v>
      </c>
      <c r="C140" s="29" t="s">
        <v>37</v>
      </c>
      <c r="D140" s="29" t="s">
        <v>74</v>
      </c>
      <c r="E140" s="29" t="s">
        <v>73</v>
      </c>
      <c r="F140" s="29" t="s">
        <v>112</v>
      </c>
      <c r="G140" s="16">
        <v>1390</v>
      </c>
      <c r="H140" s="18">
        <v>20</v>
      </c>
      <c r="I140" s="16" t="s">
        <v>86</v>
      </c>
      <c r="J140" s="16" t="s">
        <v>153</v>
      </c>
    </row>
    <row r="141" spans="1:10" x14ac:dyDescent="0.2">
      <c r="A141" s="32" t="s">
        <v>428</v>
      </c>
      <c r="B141" s="25" t="s">
        <v>429</v>
      </c>
      <c r="C141" s="25" t="s">
        <v>37</v>
      </c>
      <c r="D141" s="25" t="s">
        <v>74</v>
      </c>
      <c r="E141" s="25" t="s">
        <v>73</v>
      </c>
      <c r="F141" s="25" t="s">
        <v>112</v>
      </c>
      <c r="G141" s="13">
        <v>1410</v>
      </c>
      <c r="H141" s="15">
        <v>20</v>
      </c>
      <c r="I141" s="13" t="s">
        <v>86</v>
      </c>
      <c r="J141" s="13" t="s">
        <v>153</v>
      </c>
    </row>
    <row r="142" spans="1:10" x14ac:dyDescent="0.2">
      <c r="A142" s="33" t="s">
        <v>430</v>
      </c>
      <c r="B142" s="29" t="s">
        <v>431</v>
      </c>
      <c r="C142" s="29" t="s">
        <v>37</v>
      </c>
      <c r="D142" s="29" t="s">
        <v>74</v>
      </c>
      <c r="E142" s="29" t="s">
        <v>73</v>
      </c>
      <c r="F142" s="29" t="s">
        <v>113</v>
      </c>
      <c r="G142" s="16">
        <v>1270</v>
      </c>
      <c r="H142" s="18">
        <v>20</v>
      </c>
      <c r="I142" s="16" t="s">
        <v>88</v>
      </c>
      <c r="J142" s="16" t="s">
        <v>153</v>
      </c>
    </row>
    <row r="143" spans="1:10" x14ac:dyDescent="0.2">
      <c r="A143" s="32" t="s">
        <v>432</v>
      </c>
      <c r="B143" s="25" t="s">
        <v>433</v>
      </c>
      <c r="C143" s="25" t="s">
        <v>38</v>
      </c>
      <c r="D143" s="25" t="s">
        <v>74</v>
      </c>
      <c r="E143" s="25" t="s">
        <v>73</v>
      </c>
      <c r="F143" s="25" t="s">
        <v>113</v>
      </c>
      <c r="G143" s="13">
        <v>1290</v>
      </c>
      <c r="H143" s="15">
        <v>100</v>
      </c>
      <c r="I143" s="13" t="s">
        <v>88</v>
      </c>
      <c r="J143" s="13" t="s">
        <v>153</v>
      </c>
    </row>
    <row r="144" spans="1:10" x14ac:dyDescent="0.2">
      <c r="A144" s="33" t="s">
        <v>434</v>
      </c>
      <c r="B144" s="29" t="s">
        <v>435</v>
      </c>
      <c r="C144" s="29" t="s">
        <v>37</v>
      </c>
      <c r="D144" s="29" t="s">
        <v>74</v>
      </c>
      <c r="E144" s="29" t="s">
        <v>73</v>
      </c>
      <c r="F144" s="29" t="s">
        <v>113</v>
      </c>
      <c r="G144" s="16">
        <v>1310</v>
      </c>
      <c r="H144" s="18">
        <v>20</v>
      </c>
      <c r="I144" s="16" t="s">
        <v>88</v>
      </c>
      <c r="J144" s="16" t="s">
        <v>153</v>
      </c>
    </row>
    <row r="145" spans="1:10" x14ac:dyDescent="0.2">
      <c r="A145" s="32" t="s">
        <v>436</v>
      </c>
      <c r="B145" s="25" t="s">
        <v>437</v>
      </c>
      <c r="C145" s="25" t="s">
        <v>39</v>
      </c>
      <c r="D145" s="25" t="s">
        <v>74</v>
      </c>
      <c r="E145" s="25" t="s">
        <v>73</v>
      </c>
      <c r="F145" s="25" t="s">
        <v>113</v>
      </c>
      <c r="G145" s="13">
        <v>1330</v>
      </c>
      <c r="H145" s="15">
        <v>200</v>
      </c>
      <c r="I145" s="13" t="s">
        <v>88</v>
      </c>
      <c r="J145" s="13" t="s">
        <v>153</v>
      </c>
    </row>
    <row r="146" spans="1:10" x14ac:dyDescent="0.2">
      <c r="A146" s="33" t="s">
        <v>438</v>
      </c>
      <c r="B146" s="29" t="s">
        <v>439</v>
      </c>
      <c r="C146" s="29" t="s">
        <v>37</v>
      </c>
      <c r="D146" s="29" t="s">
        <v>74</v>
      </c>
      <c r="E146" s="29" t="s">
        <v>73</v>
      </c>
      <c r="F146" s="29" t="s">
        <v>113</v>
      </c>
      <c r="G146" s="16">
        <v>1350</v>
      </c>
      <c r="H146" s="18">
        <v>20</v>
      </c>
      <c r="I146" s="16" t="s">
        <v>88</v>
      </c>
      <c r="J146" s="16" t="s">
        <v>153</v>
      </c>
    </row>
    <row r="147" spans="1:10" x14ac:dyDescent="0.2">
      <c r="A147" s="32" t="s">
        <v>440</v>
      </c>
      <c r="B147" s="25" t="s">
        <v>441</v>
      </c>
      <c r="C147" s="25" t="s">
        <v>37</v>
      </c>
      <c r="D147" s="25" t="s">
        <v>74</v>
      </c>
      <c r="E147" s="25" t="s">
        <v>73</v>
      </c>
      <c r="F147" s="25" t="s">
        <v>113</v>
      </c>
      <c r="G147" s="13">
        <v>1370</v>
      </c>
      <c r="H147" s="15">
        <v>20</v>
      </c>
      <c r="I147" s="13" t="s">
        <v>88</v>
      </c>
      <c r="J147" s="13" t="s">
        <v>153</v>
      </c>
    </row>
    <row r="148" spans="1:10" x14ac:dyDescent="0.2">
      <c r="A148" s="33" t="s">
        <v>442</v>
      </c>
      <c r="B148" s="29" t="s">
        <v>443</v>
      </c>
      <c r="C148" s="29" t="s">
        <v>39</v>
      </c>
      <c r="D148" s="29" t="s">
        <v>74</v>
      </c>
      <c r="E148" s="29" t="s">
        <v>73</v>
      </c>
      <c r="F148" s="29" t="s">
        <v>113</v>
      </c>
      <c r="G148" s="16">
        <v>1390</v>
      </c>
      <c r="H148" s="18">
        <v>200</v>
      </c>
      <c r="I148" s="16" t="s">
        <v>88</v>
      </c>
      <c r="J148" s="16" t="s">
        <v>153</v>
      </c>
    </row>
    <row r="149" spans="1:10" x14ac:dyDescent="0.2">
      <c r="A149" s="32" t="s">
        <v>444</v>
      </c>
      <c r="B149" s="25" t="s">
        <v>445</v>
      </c>
      <c r="C149" s="25" t="s">
        <v>37</v>
      </c>
      <c r="D149" s="25" t="s">
        <v>74</v>
      </c>
      <c r="E149" s="25" t="s">
        <v>73</v>
      </c>
      <c r="F149" s="25" t="s">
        <v>114</v>
      </c>
      <c r="G149" s="13">
        <v>1270</v>
      </c>
      <c r="H149" s="15">
        <v>20</v>
      </c>
      <c r="I149" s="13" t="s">
        <v>90</v>
      </c>
      <c r="J149" s="13" t="s">
        <v>153</v>
      </c>
    </row>
    <row r="150" spans="1:10" x14ac:dyDescent="0.2">
      <c r="A150" s="33" t="s">
        <v>446</v>
      </c>
      <c r="B150" s="29" t="s">
        <v>447</v>
      </c>
      <c r="C150" s="29" t="s">
        <v>37</v>
      </c>
      <c r="D150" s="29" t="s">
        <v>74</v>
      </c>
      <c r="E150" s="29" t="s">
        <v>73</v>
      </c>
      <c r="F150" s="29" t="s">
        <v>114</v>
      </c>
      <c r="G150" s="16">
        <v>1290</v>
      </c>
      <c r="H150" s="18">
        <v>20</v>
      </c>
      <c r="I150" s="16" t="s">
        <v>90</v>
      </c>
      <c r="J150" s="16" t="s">
        <v>153</v>
      </c>
    </row>
    <row r="151" spans="1:10" x14ac:dyDescent="0.2">
      <c r="A151" s="32" t="s">
        <v>448</v>
      </c>
      <c r="B151" s="25" t="s">
        <v>449</v>
      </c>
      <c r="C151" s="25" t="s">
        <v>40</v>
      </c>
      <c r="D151" s="25" t="s">
        <v>74</v>
      </c>
      <c r="E151" s="25" t="s">
        <v>73</v>
      </c>
      <c r="F151" s="25" t="s">
        <v>114</v>
      </c>
      <c r="G151" s="13">
        <v>1310</v>
      </c>
      <c r="H151" s="15">
        <v>1024</v>
      </c>
      <c r="I151" s="13" t="s">
        <v>90</v>
      </c>
      <c r="J151" s="13" t="s">
        <v>153</v>
      </c>
    </row>
    <row r="152" spans="1:10" x14ac:dyDescent="0.2">
      <c r="A152" s="33" t="s">
        <v>450</v>
      </c>
      <c r="B152" s="29" t="s">
        <v>451</v>
      </c>
      <c r="C152" s="29" t="s">
        <v>40</v>
      </c>
      <c r="D152" s="29" t="s">
        <v>74</v>
      </c>
      <c r="E152" s="29" t="s">
        <v>73</v>
      </c>
      <c r="F152" s="29" t="s">
        <v>114</v>
      </c>
      <c r="G152" s="16">
        <v>1330</v>
      </c>
      <c r="H152" s="18">
        <v>1024</v>
      </c>
      <c r="I152" s="16" t="s">
        <v>90</v>
      </c>
      <c r="J152" s="16" t="s">
        <v>153</v>
      </c>
    </row>
    <row r="153" spans="1:10" x14ac:dyDescent="0.2">
      <c r="A153" s="32" t="s">
        <v>452</v>
      </c>
      <c r="B153" s="25" t="s">
        <v>453</v>
      </c>
      <c r="C153" s="25" t="s">
        <v>39</v>
      </c>
      <c r="D153" s="25" t="s">
        <v>74</v>
      </c>
      <c r="E153" s="25" t="s">
        <v>73</v>
      </c>
      <c r="F153" s="25" t="s">
        <v>114</v>
      </c>
      <c r="G153" s="13">
        <v>1350</v>
      </c>
      <c r="H153" s="15">
        <v>200</v>
      </c>
      <c r="I153" s="13" t="s">
        <v>90</v>
      </c>
      <c r="J153" s="13" t="s">
        <v>153</v>
      </c>
    </row>
    <row r="154" spans="1:10" x14ac:dyDescent="0.2">
      <c r="A154" s="33" t="s">
        <v>454</v>
      </c>
      <c r="B154" s="29" t="s">
        <v>455</v>
      </c>
      <c r="C154" s="29" t="s">
        <v>39</v>
      </c>
      <c r="D154" s="29" t="s">
        <v>74</v>
      </c>
      <c r="E154" s="29" t="s">
        <v>73</v>
      </c>
      <c r="F154" s="29" t="s">
        <v>114</v>
      </c>
      <c r="G154" s="16">
        <v>1370</v>
      </c>
      <c r="H154" s="18">
        <v>200</v>
      </c>
      <c r="I154" s="16" t="s">
        <v>90</v>
      </c>
      <c r="J154" s="16" t="s">
        <v>153</v>
      </c>
    </row>
    <row r="155" spans="1:10" x14ac:dyDescent="0.2">
      <c r="A155" s="32" t="s">
        <v>456</v>
      </c>
      <c r="B155" s="25" t="s">
        <v>457</v>
      </c>
      <c r="C155" s="25" t="s">
        <v>39</v>
      </c>
      <c r="D155" s="25" t="s">
        <v>74</v>
      </c>
      <c r="E155" s="25" t="s">
        <v>73</v>
      </c>
      <c r="F155" s="25" t="s">
        <v>115</v>
      </c>
      <c r="G155" s="13">
        <v>1270</v>
      </c>
      <c r="H155" s="15">
        <v>200</v>
      </c>
      <c r="I155" s="13" t="s">
        <v>92</v>
      </c>
      <c r="J155" s="13" t="s">
        <v>153</v>
      </c>
    </row>
    <row r="156" spans="1:10" x14ac:dyDescent="0.2">
      <c r="A156" s="33" t="s">
        <v>458</v>
      </c>
      <c r="B156" s="29" t="s">
        <v>459</v>
      </c>
      <c r="C156" s="29" t="s">
        <v>40</v>
      </c>
      <c r="D156" s="29" t="s">
        <v>74</v>
      </c>
      <c r="E156" s="29" t="s">
        <v>73</v>
      </c>
      <c r="F156" s="29" t="s">
        <v>115</v>
      </c>
      <c r="G156" s="16">
        <v>1290</v>
      </c>
      <c r="H156" s="18">
        <v>1024</v>
      </c>
      <c r="I156" s="16" t="s">
        <v>92</v>
      </c>
      <c r="J156" s="16" t="s">
        <v>153</v>
      </c>
    </row>
    <row r="157" spans="1:10" x14ac:dyDescent="0.2">
      <c r="A157" s="32" t="s">
        <v>460</v>
      </c>
      <c r="B157" s="25" t="s">
        <v>461</v>
      </c>
      <c r="C157" s="25" t="s">
        <v>37</v>
      </c>
      <c r="D157" s="25" t="s">
        <v>74</v>
      </c>
      <c r="E157" s="25" t="s">
        <v>73</v>
      </c>
      <c r="F157" s="25" t="s">
        <v>115</v>
      </c>
      <c r="G157" s="13">
        <v>1310</v>
      </c>
      <c r="H157" s="15">
        <v>20</v>
      </c>
      <c r="I157" s="13" t="s">
        <v>92</v>
      </c>
      <c r="J157" s="13" t="s">
        <v>153</v>
      </c>
    </row>
    <row r="158" spans="1:10" x14ac:dyDescent="0.2">
      <c r="A158" s="33" t="s">
        <v>462</v>
      </c>
      <c r="B158" s="29" t="s">
        <v>463</v>
      </c>
      <c r="C158" s="29" t="s">
        <v>37</v>
      </c>
      <c r="D158" s="29" t="s">
        <v>74</v>
      </c>
      <c r="E158" s="29" t="s">
        <v>73</v>
      </c>
      <c r="F158" s="29" t="s">
        <v>115</v>
      </c>
      <c r="G158" s="16">
        <v>1330</v>
      </c>
      <c r="H158" s="18">
        <v>20</v>
      </c>
      <c r="I158" s="16" t="s">
        <v>92</v>
      </c>
      <c r="J158" s="16" t="s">
        <v>153</v>
      </c>
    </row>
    <row r="159" spans="1:10" x14ac:dyDescent="0.2">
      <c r="A159" s="32" t="s">
        <v>464</v>
      </c>
      <c r="B159" s="25" t="s">
        <v>465</v>
      </c>
      <c r="C159" s="25" t="s">
        <v>39</v>
      </c>
      <c r="D159" s="25" t="s">
        <v>74</v>
      </c>
      <c r="E159" s="25" t="s">
        <v>73</v>
      </c>
      <c r="F159" s="25" t="s">
        <v>115</v>
      </c>
      <c r="G159" s="13">
        <v>1350</v>
      </c>
      <c r="H159" s="15">
        <v>200</v>
      </c>
      <c r="I159" s="13" t="s">
        <v>92</v>
      </c>
      <c r="J159" s="13" t="s">
        <v>153</v>
      </c>
    </row>
    <row r="160" spans="1:10" x14ac:dyDescent="0.2">
      <c r="A160" s="33" t="s">
        <v>466</v>
      </c>
      <c r="B160" s="29" t="s">
        <v>467</v>
      </c>
      <c r="C160" s="29" t="s">
        <v>37</v>
      </c>
      <c r="D160" s="29" t="s">
        <v>74</v>
      </c>
      <c r="E160" s="29" t="s">
        <v>75</v>
      </c>
      <c r="F160" s="29" t="s">
        <v>116</v>
      </c>
      <c r="G160" s="16">
        <v>1270</v>
      </c>
      <c r="H160" s="18">
        <v>20</v>
      </c>
      <c r="I160" s="16" t="s">
        <v>86</v>
      </c>
      <c r="J160" s="16" t="s">
        <v>153</v>
      </c>
    </row>
    <row r="161" spans="1:10" x14ac:dyDescent="0.2">
      <c r="A161" s="32" t="s">
        <v>468</v>
      </c>
      <c r="B161" s="25" t="s">
        <v>469</v>
      </c>
      <c r="C161" s="25" t="s">
        <v>38</v>
      </c>
      <c r="D161" s="25" t="s">
        <v>74</v>
      </c>
      <c r="E161" s="25" t="s">
        <v>75</v>
      </c>
      <c r="F161" s="25" t="s">
        <v>116</v>
      </c>
      <c r="G161" s="13">
        <v>1290</v>
      </c>
      <c r="H161" s="15">
        <v>100</v>
      </c>
      <c r="I161" s="13" t="s">
        <v>86</v>
      </c>
      <c r="J161" s="13" t="s">
        <v>153</v>
      </c>
    </row>
    <row r="162" spans="1:10" x14ac:dyDescent="0.2">
      <c r="A162" s="33" t="s">
        <v>470</v>
      </c>
      <c r="B162" s="29" t="s">
        <v>471</v>
      </c>
      <c r="C162" s="29" t="s">
        <v>39</v>
      </c>
      <c r="D162" s="29" t="s">
        <v>74</v>
      </c>
      <c r="E162" s="29" t="s">
        <v>75</v>
      </c>
      <c r="F162" s="29" t="s">
        <v>116</v>
      </c>
      <c r="G162" s="16">
        <v>1310</v>
      </c>
      <c r="H162" s="18">
        <v>200</v>
      </c>
      <c r="I162" s="16" t="s">
        <v>86</v>
      </c>
      <c r="J162" s="16" t="s">
        <v>153</v>
      </c>
    </row>
    <row r="163" spans="1:10" x14ac:dyDescent="0.2">
      <c r="A163" s="32" t="s">
        <v>472</v>
      </c>
      <c r="B163" s="25" t="s">
        <v>473</v>
      </c>
      <c r="C163" s="25" t="s">
        <v>37</v>
      </c>
      <c r="D163" s="25" t="s">
        <v>74</v>
      </c>
      <c r="E163" s="25" t="s">
        <v>75</v>
      </c>
      <c r="F163" s="25" t="s">
        <v>116</v>
      </c>
      <c r="G163" s="13">
        <v>1330</v>
      </c>
      <c r="H163" s="15">
        <v>20</v>
      </c>
      <c r="I163" s="13" t="s">
        <v>86</v>
      </c>
      <c r="J163" s="13" t="s">
        <v>153</v>
      </c>
    </row>
    <row r="164" spans="1:10" x14ac:dyDescent="0.2">
      <c r="A164" s="33" t="s">
        <v>474</v>
      </c>
      <c r="B164" s="29" t="s">
        <v>475</v>
      </c>
      <c r="C164" s="29" t="s">
        <v>37</v>
      </c>
      <c r="D164" s="29" t="s">
        <v>74</v>
      </c>
      <c r="E164" s="29" t="s">
        <v>75</v>
      </c>
      <c r="F164" s="29" t="s">
        <v>116</v>
      </c>
      <c r="G164" s="16">
        <v>1350</v>
      </c>
      <c r="H164" s="18">
        <v>20</v>
      </c>
      <c r="I164" s="16" t="s">
        <v>86</v>
      </c>
      <c r="J164" s="16" t="s">
        <v>153</v>
      </c>
    </row>
    <row r="165" spans="1:10" x14ac:dyDescent="0.2">
      <c r="A165" s="32" t="s">
        <v>476</v>
      </c>
      <c r="B165" s="25" t="s">
        <v>477</v>
      </c>
      <c r="C165" s="25" t="s">
        <v>37</v>
      </c>
      <c r="D165" s="25" t="s">
        <v>74</v>
      </c>
      <c r="E165" s="25" t="s">
        <v>75</v>
      </c>
      <c r="F165" s="25" t="s">
        <v>116</v>
      </c>
      <c r="G165" s="13">
        <v>1370</v>
      </c>
      <c r="H165" s="15">
        <v>20</v>
      </c>
      <c r="I165" s="13" t="s">
        <v>86</v>
      </c>
      <c r="J165" s="13" t="s">
        <v>153</v>
      </c>
    </row>
    <row r="166" spans="1:10" x14ac:dyDescent="0.2">
      <c r="A166" s="33" t="s">
        <v>478</v>
      </c>
      <c r="B166" s="29" t="s">
        <v>479</v>
      </c>
      <c r="C166" s="29" t="s">
        <v>38</v>
      </c>
      <c r="D166" s="29" t="s">
        <v>74</v>
      </c>
      <c r="E166" s="29" t="s">
        <v>75</v>
      </c>
      <c r="F166" s="29" t="s">
        <v>116</v>
      </c>
      <c r="G166" s="16">
        <v>1390</v>
      </c>
      <c r="H166" s="18">
        <v>100</v>
      </c>
      <c r="I166" s="16" t="s">
        <v>86</v>
      </c>
      <c r="J166" s="16" t="s">
        <v>153</v>
      </c>
    </row>
    <row r="167" spans="1:10" x14ac:dyDescent="0.2">
      <c r="A167" s="32" t="s">
        <v>480</v>
      </c>
      <c r="B167" s="25" t="s">
        <v>481</v>
      </c>
      <c r="C167" s="25" t="s">
        <v>38</v>
      </c>
      <c r="D167" s="25" t="s">
        <v>74</v>
      </c>
      <c r="E167" s="25" t="s">
        <v>75</v>
      </c>
      <c r="F167" s="25" t="s">
        <v>116</v>
      </c>
      <c r="G167" s="13">
        <v>1410</v>
      </c>
      <c r="H167" s="15">
        <v>100</v>
      </c>
      <c r="I167" s="13" t="s">
        <v>86</v>
      </c>
      <c r="J167" s="13" t="s">
        <v>153</v>
      </c>
    </row>
    <row r="168" spans="1:10" x14ac:dyDescent="0.2">
      <c r="A168" s="33" t="s">
        <v>482</v>
      </c>
      <c r="B168" s="29" t="s">
        <v>483</v>
      </c>
      <c r="C168" s="29" t="s">
        <v>37</v>
      </c>
      <c r="D168" s="29" t="s">
        <v>74</v>
      </c>
      <c r="E168" s="29" t="s">
        <v>75</v>
      </c>
      <c r="F168" s="29" t="s">
        <v>116</v>
      </c>
      <c r="G168" s="16">
        <v>1430</v>
      </c>
      <c r="H168" s="18">
        <v>20</v>
      </c>
      <c r="I168" s="16" t="s">
        <v>86</v>
      </c>
      <c r="J168" s="16" t="s">
        <v>153</v>
      </c>
    </row>
    <row r="169" spans="1:10" x14ac:dyDescent="0.2">
      <c r="A169" s="32" t="s">
        <v>484</v>
      </c>
      <c r="B169" s="25" t="s">
        <v>485</v>
      </c>
      <c r="C169" s="25" t="s">
        <v>37</v>
      </c>
      <c r="D169" s="25" t="s">
        <v>74</v>
      </c>
      <c r="E169" s="25" t="s">
        <v>75</v>
      </c>
      <c r="F169" s="25" t="s">
        <v>117</v>
      </c>
      <c r="G169" s="13">
        <v>1270</v>
      </c>
      <c r="H169" s="15">
        <v>20</v>
      </c>
      <c r="I169" s="13" t="s">
        <v>88</v>
      </c>
      <c r="J169" s="13" t="s">
        <v>153</v>
      </c>
    </row>
    <row r="170" spans="1:10" x14ac:dyDescent="0.2">
      <c r="A170" s="33" t="s">
        <v>486</v>
      </c>
      <c r="B170" s="29" t="s">
        <v>487</v>
      </c>
      <c r="C170" s="29" t="s">
        <v>37</v>
      </c>
      <c r="D170" s="29" t="s">
        <v>74</v>
      </c>
      <c r="E170" s="29" t="s">
        <v>75</v>
      </c>
      <c r="F170" s="29" t="s">
        <v>117</v>
      </c>
      <c r="G170" s="16">
        <v>1290</v>
      </c>
      <c r="H170" s="18">
        <v>20</v>
      </c>
      <c r="I170" s="16" t="s">
        <v>88</v>
      </c>
      <c r="J170" s="16" t="s">
        <v>153</v>
      </c>
    </row>
    <row r="171" spans="1:10" x14ac:dyDescent="0.2">
      <c r="A171" s="32" t="s">
        <v>488</v>
      </c>
      <c r="B171" s="25" t="s">
        <v>489</v>
      </c>
      <c r="C171" s="25" t="s">
        <v>38</v>
      </c>
      <c r="D171" s="25" t="s">
        <v>74</v>
      </c>
      <c r="E171" s="25" t="s">
        <v>75</v>
      </c>
      <c r="F171" s="25" t="s">
        <v>117</v>
      </c>
      <c r="G171" s="13">
        <v>1310</v>
      </c>
      <c r="H171" s="15">
        <v>100</v>
      </c>
      <c r="I171" s="13" t="s">
        <v>88</v>
      </c>
      <c r="J171" s="13" t="s">
        <v>153</v>
      </c>
    </row>
    <row r="172" spans="1:10" x14ac:dyDescent="0.2">
      <c r="A172" s="33" t="s">
        <v>490</v>
      </c>
      <c r="B172" s="29" t="s">
        <v>491</v>
      </c>
      <c r="C172" s="29" t="s">
        <v>37</v>
      </c>
      <c r="D172" s="29" t="s">
        <v>74</v>
      </c>
      <c r="E172" s="29" t="s">
        <v>75</v>
      </c>
      <c r="F172" s="29" t="s">
        <v>117</v>
      </c>
      <c r="G172" s="16">
        <v>1330</v>
      </c>
      <c r="H172" s="18">
        <v>20</v>
      </c>
      <c r="I172" s="16" t="s">
        <v>88</v>
      </c>
      <c r="J172" s="16" t="s">
        <v>153</v>
      </c>
    </row>
    <row r="173" spans="1:10" x14ac:dyDescent="0.2">
      <c r="A173" s="32" t="s">
        <v>492</v>
      </c>
      <c r="B173" s="25" t="s">
        <v>493</v>
      </c>
      <c r="C173" s="25" t="s">
        <v>39</v>
      </c>
      <c r="D173" s="25" t="s">
        <v>74</v>
      </c>
      <c r="E173" s="25" t="s">
        <v>75</v>
      </c>
      <c r="F173" s="25" t="s">
        <v>117</v>
      </c>
      <c r="G173" s="13">
        <v>1350</v>
      </c>
      <c r="H173" s="15">
        <v>200</v>
      </c>
      <c r="I173" s="13" t="s">
        <v>88</v>
      </c>
      <c r="J173" s="13" t="s">
        <v>153</v>
      </c>
    </row>
    <row r="174" spans="1:10" x14ac:dyDescent="0.2">
      <c r="A174" s="33" t="s">
        <v>494</v>
      </c>
      <c r="B174" s="29" t="s">
        <v>495</v>
      </c>
      <c r="C174" s="29" t="s">
        <v>37</v>
      </c>
      <c r="D174" s="29" t="s">
        <v>74</v>
      </c>
      <c r="E174" s="29" t="s">
        <v>75</v>
      </c>
      <c r="F174" s="29" t="s">
        <v>117</v>
      </c>
      <c r="G174" s="16">
        <v>1370</v>
      </c>
      <c r="H174" s="18">
        <v>20</v>
      </c>
      <c r="I174" s="16" t="s">
        <v>88</v>
      </c>
      <c r="J174" s="16" t="s">
        <v>153</v>
      </c>
    </row>
    <row r="175" spans="1:10" x14ac:dyDescent="0.2">
      <c r="A175" s="32" t="s">
        <v>496</v>
      </c>
      <c r="B175" s="25" t="s">
        <v>497</v>
      </c>
      <c r="C175" s="25" t="s">
        <v>37</v>
      </c>
      <c r="D175" s="25" t="s">
        <v>74</v>
      </c>
      <c r="E175" s="25" t="s">
        <v>75</v>
      </c>
      <c r="F175" s="25" t="s">
        <v>117</v>
      </c>
      <c r="G175" s="13">
        <v>1390</v>
      </c>
      <c r="H175" s="15">
        <v>20</v>
      </c>
      <c r="I175" s="13" t="s">
        <v>88</v>
      </c>
      <c r="J175" s="13" t="s">
        <v>153</v>
      </c>
    </row>
    <row r="176" spans="1:10" x14ac:dyDescent="0.2">
      <c r="A176" s="33" t="s">
        <v>498</v>
      </c>
      <c r="B176" s="29" t="s">
        <v>499</v>
      </c>
      <c r="C176" s="29" t="s">
        <v>38</v>
      </c>
      <c r="D176" s="29" t="s">
        <v>74</v>
      </c>
      <c r="E176" s="29" t="s">
        <v>75</v>
      </c>
      <c r="F176" s="29" t="s">
        <v>117</v>
      </c>
      <c r="G176" s="16">
        <v>1410</v>
      </c>
      <c r="H176" s="18">
        <v>100</v>
      </c>
      <c r="I176" s="16" t="s">
        <v>88</v>
      </c>
      <c r="J176" s="16" t="s">
        <v>153</v>
      </c>
    </row>
    <row r="177" spans="1:10" x14ac:dyDescent="0.2">
      <c r="A177" s="32" t="s">
        <v>500</v>
      </c>
      <c r="B177" s="25" t="s">
        <v>501</v>
      </c>
      <c r="C177" s="25" t="s">
        <v>37</v>
      </c>
      <c r="D177" s="25" t="s">
        <v>74</v>
      </c>
      <c r="E177" s="25" t="s">
        <v>75</v>
      </c>
      <c r="F177" s="25" t="s">
        <v>118</v>
      </c>
      <c r="G177" s="13">
        <v>1270</v>
      </c>
      <c r="H177" s="15">
        <v>20</v>
      </c>
      <c r="I177" s="13" t="s">
        <v>90</v>
      </c>
      <c r="J177" s="13" t="s">
        <v>153</v>
      </c>
    </row>
    <row r="178" spans="1:10" x14ac:dyDescent="0.2">
      <c r="A178" s="33" t="s">
        <v>502</v>
      </c>
      <c r="B178" s="29" t="s">
        <v>503</v>
      </c>
      <c r="C178" s="29" t="s">
        <v>37</v>
      </c>
      <c r="D178" s="29" t="s">
        <v>74</v>
      </c>
      <c r="E178" s="29" t="s">
        <v>75</v>
      </c>
      <c r="F178" s="29" t="s">
        <v>118</v>
      </c>
      <c r="G178" s="16">
        <v>1290</v>
      </c>
      <c r="H178" s="18">
        <v>20</v>
      </c>
      <c r="I178" s="16" t="s">
        <v>90</v>
      </c>
      <c r="J178" s="16" t="s">
        <v>153</v>
      </c>
    </row>
    <row r="179" spans="1:10" x14ac:dyDescent="0.2">
      <c r="A179" s="32" t="s">
        <v>504</v>
      </c>
      <c r="B179" s="25" t="s">
        <v>505</v>
      </c>
      <c r="C179" s="25" t="s">
        <v>40</v>
      </c>
      <c r="D179" s="25" t="s">
        <v>74</v>
      </c>
      <c r="E179" s="25" t="s">
        <v>75</v>
      </c>
      <c r="F179" s="25" t="s">
        <v>118</v>
      </c>
      <c r="G179" s="13">
        <v>1310</v>
      </c>
      <c r="H179" s="15">
        <v>1024</v>
      </c>
      <c r="I179" s="13" t="s">
        <v>90</v>
      </c>
      <c r="J179" s="13" t="s">
        <v>153</v>
      </c>
    </row>
    <row r="180" spans="1:10" x14ac:dyDescent="0.2">
      <c r="A180" s="33" t="s">
        <v>506</v>
      </c>
      <c r="B180" s="29" t="s">
        <v>507</v>
      </c>
      <c r="C180" s="29" t="s">
        <v>38</v>
      </c>
      <c r="D180" s="29" t="s">
        <v>74</v>
      </c>
      <c r="E180" s="29" t="s">
        <v>75</v>
      </c>
      <c r="F180" s="29" t="s">
        <v>118</v>
      </c>
      <c r="G180" s="16">
        <v>1330</v>
      </c>
      <c r="H180" s="18">
        <v>100</v>
      </c>
      <c r="I180" s="16" t="s">
        <v>90</v>
      </c>
      <c r="J180" s="16" t="s">
        <v>153</v>
      </c>
    </row>
    <row r="181" spans="1:10" x14ac:dyDescent="0.2">
      <c r="A181" s="32" t="s">
        <v>508</v>
      </c>
      <c r="B181" s="25" t="s">
        <v>509</v>
      </c>
      <c r="C181" s="25" t="s">
        <v>37</v>
      </c>
      <c r="D181" s="25" t="s">
        <v>74</v>
      </c>
      <c r="E181" s="25" t="s">
        <v>75</v>
      </c>
      <c r="F181" s="25" t="s">
        <v>118</v>
      </c>
      <c r="G181" s="13">
        <v>1350</v>
      </c>
      <c r="H181" s="15">
        <v>20</v>
      </c>
      <c r="I181" s="13" t="s">
        <v>90</v>
      </c>
      <c r="J181" s="13" t="s">
        <v>153</v>
      </c>
    </row>
    <row r="182" spans="1:10" x14ac:dyDescent="0.2">
      <c r="A182" s="33" t="s">
        <v>510</v>
      </c>
      <c r="B182" s="29" t="s">
        <v>511</v>
      </c>
      <c r="C182" s="29" t="s">
        <v>37</v>
      </c>
      <c r="D182" s="29" t="s">
        <v>74</v>
      </c>
      <c r="E182" s="29" t="s">
        <v>75</v>
      </c>
      <c r="F182" s="29" t="s">
        <v>118</v>
      </c>
      <c r="G182" s="16">
        <v>1370</v>
      </c>
      <c r="H182" s="18">
        <v>20</v>
      </c>
      <c r="I182" s="16" t="s">
        <v>90</v>
      </c>
      <c r="J182" s="16" t="s">
        <v>153</v>
      </c>
    </row>
  </sheetData>
  <mergeCells count="1">
    <mergeCell ref="A1:J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Parametros</vt:lpstr>
      <vt:lpstr>Nodos</vt:lpstr>
      <vt:lpstr>OADMs</vt:lpstr>
      <vt:lpstr>Enlaces</vt:lpstr>
      <vt:lpstr>Salidas_Internet</vt:lpstr>
      <vt:lpstr>Clientes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Oscar Zhao Xu</cp:lastModifiedBy>
  <cp:revision>0</cp:revision>
  <dcterms:created xsi:type="dcterms:W3CDTF">2026-05-03T23:20:11Z</dcterms:created>
  <dcterms:modified xsi:type="dcterms:W3CDTF">2026-06-03T00:33:25Z</dcterms:modified>
  <dc:language>en-US</dc:language>
</cp:coreProperties>
</file>